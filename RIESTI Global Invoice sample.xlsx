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업무\베트남\riesti global 공증\물류\2026 08\"/>
    </mc:Choice>
  </mc:AlternateContent>
  <xr:revisionPtr revIDLastSave="0" documentId="13_ncr:1_{EDF020E6-C379-4479-AE15-3B5A694661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3" r:id="rId1"/>
    <sheet name="PACKING " sheetId="2" r:id="rId2"/>
  </sheets>
  <definedNames>
    <definedName name="_xlnm._FilterDatabase" localSheetId="0" hidden="1">INVOICE!#REF!</definedName>
    <definedName name="_xlnm.Print_Area" localSheetId="0">INVOICE!$A$2:$G$72</definedName>
    <definedName name="_xlnm.Print_Area" localSheetId="1">'PACKING '!$B$1:$H$80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9" i="3" l="1"/>
  <c r="F28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D61" i="3"/>
  <c r="G28" i="2"/>
  <c r="G63" i="2" s="1"/>
  <c r="C28" i="2"/>
  <c r="A17" i="3"/>
  <c r="B17" i="2" s="1"/>
  <c r="I63" i="2"/>
  <c r="H30" i="2"/>
  <c r="H63" i="2" s="1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9" i="2"/>
  <c r="H50" i="2"/>
  <c r="H51" i="2"/>
  <c r="H52" i="2"/>
  <c r="H53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9" i="2"/>
  <c r="G50" i="2"/>
  <c r="G51" i="2"/>
  <c r="G52" i="2"/>
  <c r="G53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B25" i="2"/>
  <c r="B21" i="2"/>
  <c r="D19" i="2"/>
  <c r="B19" i="2"/>
  <c r="B14" i="2"/>
  <c r="B13" i="2"/>
  <c r="F11" i="2"/>
  <c r="B11" i="2"/>
  <c r="B10" i="2"/>
  <c r="B8" i="2"/>
  <c r="B7" i="2"/>
  <c r="B6" i="2"/>
  <c r="B5" i="2"/>
  <c r="F4" i="2"/>
  <c r="B4" i="2"/>
  <c r="G59" i="3" l="1"/>
  <c r="H59" i="3" s="1"/>
  <c r="F63" i="2"/>
</calcChain>
</file>

<file path=xl/sharedStrings.xml><?xml version="1.0" encoding="utf-8"?>
<sst xmlns="http://schemas.openxmlformats.org/spreadsheetml/2006/main" count="94" uniqueCount="83">
  <si>
    <t>COMMERCIAL INVOICE</t>
  </si>
  <si>
    <t>Shipper/Exporter</t>
  </si>
  <si>
    <t>Invoice No. and Date</t>
  </si>
  <si>
    <t>Riesti Corporation</t>
  </si>
  <si>
    <t>RIE003      Dated: Aug, 05th, 2026</t>
  </si>
  <si>
    <t>#401, 775, Gyeongin-ro, Yeongdeungpo-gu, Seoul, Republic of Korea</t>
  </si>
  <si>
    <t>Contact Point : Henry</t>
  </si>
  <si>
    <t>L/C No. and Date</t>
  </si>
  <si>
    <t>E-mail :Henry@riesti.com</t>
  </si>
  <si>
    <t>TEL : 82-70-8733-7930,  FAX : 82-070-7614-3544</t>
  </si>
  <si>
    <t xml:space="preserve"> Consignee</t>
  </si>
  <si>
    <t>Buyer (if other than consignee)</t>
  </si>
  <si>
    <t>RIESTI GLOBAL CO., LTD</t>
  </si>
  <si>
    <t>same as consignee</t>
  </si>
  <si>
    <t>ATTEN: PHƯƠNG THẢO</t>
  </si>
  <si>
    <t>TEL :  (+84) 916537049</t>
  </si>
  <si>
    <t xml:space="preserve"> Departure Date</t>
  </si>
  <si>
    <t>Other references</t>
  </si>
  <si>
    <t xml:space="preserve"> Carrier</t>
  </si>
  <si>
    <t xml:space="preserve"> From</t>
  </si>
  <si>
    <t>Vessel</t>
  </si>
  <si>
    <t>Incheon</t>
  </si>
  <si>
    <t xml:space="preserve"> To</t>
  </si>
  <si>
    <t>Payment Terms</t>
  </si>
  <si>
    <t>Vietnam</t>
  </si>
  <si>
    <t>T/T in advance</t>
  </si>
  <si>
    <t xml:space="preserve"> Shipping marks</t>
  </si>
  <si>
    <t xml:space="preserve"> Description of Goods</t>
  </si>
  <si>
    <t>Q'ty / Unit</t>
  </si>
  <si>
    <t>Unit price</t>
  </si>
  <si>
    <t>EXP</t>
  </si>
  <si>
    <t>LOT</t>
  </si>
  <si>
    <t>BARCODE</t>
  </si>
  <si>
    <t xml:space="preserve">  Made in South Korea</t>
  </si>
  <si>
    <t xml:space="preserve"> C/T NO: 2PL</t>
  </si>
  <si>
    <t>TOTAL AMOUNT</t>
  </si>
  <si>
    <t>FOB</t>
  </si>
  <si>
    <t xml:space="preserve">1USD = </t>
  </si>
  <si>
    <t xml:space="preserve"> Signed by</t>
  </si>
  <si>
    <t>http://www.smbs.biz/</t>
  </si>
  <si>
    <t>Currency rate is applied Seoul Foreign Exchange Brokerage</t>
  </si>
  <si>
    <t>PACKING LIST</t>
  </si>
  <si>
    <t xml:space="preserve"> Shipper/Exporter</t>
  </si>
  <si>
    <t>Invoice No. and date</t>
  </si>
  <si>
    <t>Net
Weight</t>
  </si>
  <si>
    <t>Gross
Weight</t>
  </si>
  <si>
    <t xml:space="preserve">  Made in  South Korea</t>
  </si>
  <si>
    <t>TOTAL AMOUNT : 1PL</t>
  </si>
  <si>
    <t xml:space="preserve"> </t>
  </si>
  <si>
    <t>Riesti
global</t>
    <phoneticPr fontId="24" type="noConversion"/>
  </si>
  <si>
    <t>Riesti
 global</t>
    <phoneticPr fontId="24" type="noConversion"/>
  </si>
  <si>
    <t>unpa Bubi Bubi Butter Lip Balm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</si>
  <si>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</si>
  <si>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</si>
  <si>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</si>
  <si>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</si>
  <si>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</si>
  <si>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</si>
  <si>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</si>
  <si>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</si>
  <si>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</si>
  <si>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</si>
  <si>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</si>
  <si>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</si>
  <si>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</si>
  <si>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</si>
  <si>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</si>
  <si>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</si>
  <si>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</si>
  <si>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</si>
  <si>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</si>
  <si>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</si>
  <si>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</si>
  <si>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</si>
  <si>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</si>
  <si>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</si>
  <si>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</si>
  <si>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</si>
  <si>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</si>
  <si>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</si>
  <si>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</si>
  <si>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 xml:space="preserve"> Amount</t>
  </si>
  <si>
    <t>117 Tan Cang, Thanh My Tay Ward, Ho Chi Minh City, Vietnam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</si>
</sst>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6" formatCode="&quot;₩&quot;#,##0;[Red]\-&quot;₩&quot;#,##0"/>
    <numFmt numFmtId="41" formatCode="_-* #,##0_-;\-* #,##0_-;_-* &quot;-&quot;_-;_-@_-"/>
    <numFmt numFmtId="176" formatCode="[$-409]mmmm\ d\,\ yyyy;@"/>
    <numFmt numFmtId="177" formatCode="#,###&quot;EA&quot;"/>
    <numFmt numFmtId="178" formatCode="General&quot;kg&quot;"/>
    <numFmt numFmtId="179" formatCode="#,###.#&quot;Boxes&quot;"/>
    <numFmt numFmtId="180" formatCode="0_);[Red]\(0\)"/>
    <numFmt numFmtId="181" formatCode="#,###.#&quot;KGS&quot;"/>
    <numFmt numFmtId="182" formatCode="0.0;[Red]0.0"/>
    <numFmt numFmtId="183" formatCode="yyyy/mm/dd;@"/>
    <numFmt numFmtId="184" formatCode="&quot;₩&quot;#,##0_);[Red]\(&quot;₩&quot;#,##0\)"/>
    <numFmt numFmtId="185" formatCode="_-[$$-409]* #,##0.00_ ;_-[$$-409]* \-#,##0.00\ ;_-[$$-409]* &quot;-&quot;??_ ;_-@_ "/>
    <numFmt numFmtId="186" formatCode="&quot;₩&quot;#,##0"/>
    <numFmt numFmtId="187" formatCode="_-[$$-409]* #,##0.0_ ;_-[$$-409]* \-#,##0.0\ ;_-[$$-409]* &quot;-&quot;??_ ;_-@_ "/>
  </numFmts>
  <fonts count="28" x14ac:knownFonts="1">
    <font>
      <sz val="11"/>
      <name val="돋움"/>
      <charset val="129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name val="Times New Roman"/>
      <family val="1"/>
    </font>
    <font>
      <b/>
      <sz val="25"/>
      <name val="Times New Roman"/>
      <family val="1"/>
    </font>
    <font>
      <b/>
      <sz val="11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8"/>
      <name val="Times New Roman"/>
      <family val="1"/>
    </font>
    <font>
      <b/>
      <sz val="16"/>
      <name val="Times New Roman"/>
      <family val="1"/>
    </font>
    <font>
      <sz val="10"/>
      <color indexed="8"/>
      <name val="Arial"/>
      <family val="2"/>
    </font>
    <font>
      <u/>
      <sz val="11"/>
      <color theme="10"/>
      <name val="돋움"/>
      <family val="3"/>
      <charset val="129"/>
    </font>
    <font>
      <sz val="11"/>
      <color theme="1"/>
      <name val="맑은 고딕"/>
      <family val="2"/>
      <scheme val="minor"/>
    </font>
    <font>
      <sz val="10"/>
      <color rgb="FF000000"/>
      <name val="Times New Roman"/>
      <family val="1"/>
    </font>
    <font>
      <sz val="8"/>
      <name val="돋움"/>
      <family val="3"/>
      <charset val="129"/>
    </font>
    <font>
      <sz val="10"/>
      <name val="맑은 고딕"/>
      <family val="2"/>
      <charset val="129"/>
    </font>
    <font>
      <sz val="9"/>
      <color rgb="FFFF0000"/>
      <name val="Arial"/>
      <family val="2"/>
    </font>
    <font>
      <b/>
      <sz val="18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dotted">
        <color auto="1"/>
      </left>
      <right/>
      <top/>
      <bottom/>
      <diagonal/>
    </border>
    <border>
      <left style="dashed">
        <color auto="1"/>
      </left>
      <right/>
      <top/>
      <bottom/>
      <diagonal/>
    </border>
    <border>
      <left style="dotted">
        <color auto="1"/>
      </left>
      <right/>
      <top style="medium">
        <color indexed="64"/>
      </top>
      <bottom/>
      <diagonal/>
    </border>
    <border>
      <left style="dashed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21" fillId="0" borderId="0" applyNumberFormat="0" applyFill="0" applyBorder="0" applyAlignment="0" applyProtection="0"/>
    <xf numFmtId="0" fontId="22" fillId="0" borderId="0">
      <alignment vertical="center"/>
    </xf>
    <xf numFmtId="0" fontId="23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</cellStyleXfs>
  <cellXfs count="242">
    <xf numFmtId="0" fontId="0" fillId="0" borderId="0" xfId="0"/>
    <xf numFmtId="0" fontId="1" fillId="0" borderId="0" xfId="0" applyFont="1"/>
    <xf numFmtId="0" fontId="2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2" fillId="0" borderId="5" xfId="0" applyFont="1" applyBorder="1"/>
    <xf numFmtId="0" fontId="1" fillId="0" borderId="1" xfId="0" applyFont="1" applyBorder="1"/>
    <xf numFmtId="0" fontId="2" fillId="2" borderId="5" xfId="0" applyFont="1" applyFill="1" applyBorder="1"/>
    <xf numFmtId="0" fontId="1" fillId="2" borderId="0" xfId="0" applyFont="1" applyFill="1"/>
    <xf numFmtId="0" fontId="1" fillId="2" borderId="6" xfId="0" applyFont="1" applyFill="1" applyBorder="1"/>
    <xf numFmtId="0" fontId="1" fillId="2" borderId="5" xfId="0" applyFont="1" applyFill="1" applyBorder="1"/>
    <xf numFmtId="0" fontId="1" fillId="0" borderId="6" xfId="0" applyFont="1" applyBorder="1"/>
    <xf numFmtId="14" fontId="2" fillId="0" borderId="2" xfId="0" applyNumberFormat="1" applyFont="1" applyBorder="1"/>
    <xf numFmtId="0" fontId="2" fillId="0" borderId="3" xfId="0" applyFont="1" applyBorder="1"/>
    <xf numFmtId="0" fontId="1" fillId="0" borderId="5" xfId="0" applyFont="1" applyBorder="1"/>
    <xf numFmtId="0" fontId="1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2" borderId="2" xfId="0" applyFont="1" applyFill="1" applyBorder="1"/>
    <xf numFmtId="0" fontId="1" fillId="2" borderId="3" xfId="0" applyFont="1" applyFill="1" applyBorder="1" applyAlignment="1">
      <alignment horizontal="left"/>
    </xf>
    <xf numFmtId="0" fontId="4" fillId="0" borderId="3" xfId="0" applyFont="1" applyBorder="1"/>
    <xf numFmtId="0" fontId="4" fillId="0" borderId="4" xfId="0" applyFont="1" applyBorder="1"/>
    <xf numFmtId="3" fontId="1" fillId="0" borderId="0" xfId="0" applyNumberFormat="1" applyFont="1"/>
    <xf numFmtId="0" fontId="5" fillId="0" borderId="6" xfId="0" applyFont="1" applyBorder="1" applyAlignment="1">
      <alignment horizontal="center"/>
    </xf>
    <xf numFmtId="41" fontId="4" fillId="2" borderId="0" xfId="0" applyNumberFormat="1" applyFont="1" applyFill="1" applyAlignment="1">
      <alignment horizontal="center"/>
    </xf>
    <xf numFmtId="0" fontId="1" fillId="0" borderId="0" xfId="0" applyFont="1" applyAlignment="1">
      <alignment horizontal="center"/>
    </xf>
    <xf numFmtId="0" fontId="2" fillId="0" borderId="5" xfId="0" applyFont="1" applyBorder="1" applyAlignment="1">
      <alignment horizontal="center"/>
    </xf>
    <xf numFmtId="6" fontId="1" fillId="2" borderId="0" xfId="0" applyNumberFormat="1" applyFont="1" applyFill="1"/>
    <xf numFmtId="177" fontId="1" fillId="2" borderId="0" xfId="0" applyNumberFormat="1" applyFont="1" applyFill="1" applyAlignment="1">
      <alignment horizontal="center"/>
    </xf>
    <xf numFmtId="178" fontId="4" fillId="0" borderId="0" xfId="0" applyNumberFormat="1" applyFont="1" applyAlignment="1">
      <alignment horizontal="right"/>
    </xf>
    <xf numFmtId="178" fontId="1" fillId="0" borderId="6" xfId="0" applyNumberFormat="1" applyFont="1" applyBorder="1" applyAlignment="1">
      <alignment horizontal="center" vertical="center"/>
    </xf>
    <xf numFmtId="179" fontId="1" fillId="0" borderId="0" xfId="0" applyNumberFormat="1" applyFont="1" applyAlignment="1">
      <alignment horizontal="center"/>
    </xf>
    <xf numFmtId="180" fontId="1" fillId="0" borderId="0" xfId="0" applyNumberFormat="1" applyFont="1" applyAlignment="1">
      <alignment horizontal="left"/>
    </xf>
    <xf numFmtId="178" fontId="1" fillId="0" borderId="0" xfId="0" applyNumberFormat="1" applyFont="1" applyAlignment="1">
      <alignment vertical="center"/>
    </xf>
    <xf numFmtId="179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vertical="center"/>
    </xf>
    <xf numFmtId="180" fontId="1" fillId="0" borderId="5" xfId="0" applyNumberFormat="1" applyFont="1" applyBorder="1" applyAlignment="1">
      <alignment horizontal="left"/>
    </xf>
    <xf numFmtId="178" fontId="1" fillId="0" borderId="6" xfId="0" applyNumberFormat="1" applyFont="1" applyBorder="1" applyAlignment="1">
      <alignment vertical="center"/>
    </xf>
    <xf numFmtId="178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0" fontId="6" fillId="0" borderId="0" xfId="0" applyFont="1"/>
    <xf numFmtId="180" fontId="1" fillId="0" borderId="7" xfId="0" applyNumberFormat="1" applyFont="1" applyBorder="1" applyAlignment="1">
      <alignment horizontal="left"/>
    </xf>
    <xf numFmtId="0" fontId="6" fillId="0" borderId="1" xfId="0" applyFont="1" applyBorder="1"/>
    <xf numFmtId="177" fontId="1" fillId="2" borderId="1" xfId="0" applyNumberFormat="1" applyFont="1" applyFill="1" applyBorder="1" applyAlignment="1">
      <alignment horizontal="center"/>
    </xf>
    <xf numFmtId="178" fontId="1" fillId="0" borderId="1" xfId="0" applyNumberFormat="1" applyFont="1" applyBorder="1" applyAlignment="1">
      <alignment vertical="center"/>
    </xf>
    <xf numFmtId="178" fontId="1" fillId="0" borderId="8" xfId="0" applyNumberFormat="1" applyFont="1" applyBorder="1" applyAlignment="1">
      <alignment vertical="center"/>
    </xf>
    <xf numFmtId="6" fontId="1" fillId="2" borderId="5" xfId="0" applyNumberFormat="1" applyFont="1" applyFill="1" applyBorder="1"/>
    <xf numFmtId="0" fontId="2" fillId="3" borderId="0" xfId="0" applyFont="1" applyFill="1"/>
    <xf numFmtId="177" fontId="2" fillId="0" borderId="0" xfId="0" applyNumberFormat="1" applyFont="1" applyAlignment="1">
      <alignment horizontal="right"/>
    </xf>
    <xf numFmtId="181" fontId="2" fillId="3" borderId="0" xfId="0" applyNumberFormat="1" applyFont="1" applyFill="1" applyAlignment="1">
      <alignment horizontal="right"/>
    </xf>
    <xf numFmtId="181" fontId="2" fillId="3" borderId="6" xfId="0" applyNumberFormat="1" applyFont="1" applyFill="1" applyBorder="1" applyAlignment="1">
      <alignment horizontal="center"/>
    </xf>
    <xf numFmtId="3" fontId="2" fillId="0" borderId="0" xfId="0" applyNumberFormat="1" applyFont="1" applyAlignment="1">
      <alignment horizontal="right"/>
    </xf>
    <xf numFmtId="49" fontId="2" fillId="0" borderId="0" xfId="0" applyNumberFormat="1" applyFont="1" applyAlignment="1">
      <alignment horizontal="right"/>
    </xf>
    <xf numFmtId="182" fontId="2" fillId="0" borderId="6" xfId="0" applyNumberFormat="1" applyFont="1" applyBorder="1"/>
    <xf numFmtId="0" fontId="1" fillId="0" borderId="8" xfId="0" applyFont="1" applyBorder="1"/>
    <xf numFmtId="0" fontId="1" fillId="0" borderId="2" xfId="0" applyFont="1" applyBorder="1"/>
    <xf numFmtId="0" fontId="1" fillId="0" borderId="7" xfId="0" applyFont="1" applyBorder="1"/>
    <xf numFmtId="0" fontId="7" fillId="0" borderId="0" xfId="0" applyFont="1"/>
    <xf numFmtId="183" fontId="1" fillId="0" borderId="0" xfId="0" applyNumberFormat="1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9" xfId="0" applyFont="1" applyBorder="1"/>
    <xf numFmtId="0" fontId="8" fillId="0" borderId="10" xfId="0" applyFont="1" applyBorder="1"/>
    <xf numFmtId="0" fontId="10" fillId="2" borderId="11" xfId="0" applyFont="1" applyFill="1" applyBorder="1" applyAlignment="1">
      <alignment horizontal="center" vertical="center"/>
    </xf>
    <xf numFmtId="0" fontId="8" fillId="2" borderId="10" xfId="0" applyFont="1" applyFill="1" applyBorder="1"/>
    <xf numFmtId="0" fontId="8" fillId="2" borderId="12" xfId="0" applyFont="1" applyFill="1" applyBorder="1"/>
    <xf numFmtId="0" fontId="8" fillId="2" borderId="0" xfId="0" applyFont="1" applyFill="1" applyAlignment="1">
      <alignment horizontal="center" vertical="center"/>
    </xf>
    <xf numFmtId="0" fontId="11" fillId="0" borderId="13" xfId="0" applyFont="1" applyBorder="1"/>
    <xf numFmtId="0" fontId="8" fillId="2" borderId="14" xfId="0" applyFont="1" applyFill="1" applyBorder="1" applyAlignment="1">
      <alignment horizontal="center" vertical="center"/>
    </xf>
    <xf numFmtId="0" fontId="12" fillId="0" borderId="13" xfId="0" applyFont="1" applyBorder="1"/>
    <xf numFmtId="0" fontId="8" fillId="2" borderId="15" xfId="0" applyFont="1" applyFill="1" applyBorder="1" applyAlignment="1">
      <alignment horizontal="center" vertical="center"/>
    </xf>
    <xf numFmtId="0" fontId="7" fillId="0" borderId="13" xfId="0" applyFont="1" applyBorder="1" applyAlignment="1">
      <alignment vertical="center"/>
    </xf>
    <xf numFmtId="0" fontId="10" fillId="0" borderId="2" xfId="0" applyFont="1" applyBorder="1" applyAlignment="1">
      <alignment horizontal="center" vertical="center"/>
    </xf>
    <xf numFmtId="0" fontId="8" fillId="0" borderId="3" xfId="0" applyFont="1" applyBorder="1"/>
    <xf numFmtId="0" fontId="8" fillId="0" borderId="16" xfId="0" applyFont="1" applyBorder="1"/>
    <xf numFmtId="0" fontId="8" fillId="0" borderId="5" xfId="0" applyFont="1" applyBorder="1" applyAlignment="1">
      <alignment horizontal="center" vertical="center"/>
    </xf>
    <xf numFmtId="0" fontId="8" fillId="0" borderId="14" xfId="0" applyFont="1" applyBorder="1"/>
    <xf numFmtId="0" fontId="7" fillId="0" borderId="17" xfId="0" applyFont="1" applyBorder="1" applyAlignment="1">
      <alignment vertical="center"/>
    </xf>
    <xf numFmtId="0" fontId="8" fillId="0" borderId="1" xfId="0" applyFont="1" applyBorder="1"/>
    <xf numFmtId="0" fontId="8" fillId="0" borderId="7" xfId="0" applyFont="1" applyBorder="1" applyAlignment="1">
      <alignment horizontal="center" vertical="center"/>
    </xf>
    <xf numFmtId="0" fontId="8" fillId="0" borderId="15" xfId="0" applyFont="1" applyBorder="1"/>
    <xf numFmtId="0" fontId="13" fillId="2" borderId="13" xfId="0" applyFont="1" applyFill="1" applyBorder="1"/>
    <xf numFmtId="0" fontId="10" fillId="2" borderId="2" xfId="0" applyFont="1" applyFill="1" applyBorder="1" applyAlignment="1">
      <alignment horizontal="center" vertical="center"/>
    </xf>
    <xf numFmtId="0" fontId="8" fillId="2" borderId="3" xfId="0" applyFont="1" applyFill="1" applyBorder="1"/>
    <xf numFmtId="0" fontId="8" fillId="2" borderId="16" xfId="0" applyFont="1" applyFill="1" applyBorder="1"/>
    <xf numFmtId="0" fontId="15" fillId="2" borderId="13" xfId="0" applyFont="1" applyFill="1" applyBorder="1" applyAlignment="1">
      <alignment vertical="center"/>
    </xf>
    <xf numFmtId="0" fontId="17" fillId="2" borderId="5" xfId="0" applyFont="1" applyFill="1" applyBorder="1" applyAlignment="1">
      <alignment horizontal="center" vertical="center"/>
    </xf>
    <xf numFmtId="0" fontId="10" fillId="2" borderId="14" xfId="0" applyFont="1" applyFill="1" applyBorder="1"/>
    <xf numFmtId="0" fontId="10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vertical="center"/>
    </xf>
    <xf numFmtId="0" fontId="16" fillId="2" borderId="13" xfId="0" applyFont="1" applyFill="1" applyBorder="1"/>
    <xf numFmtId="0" fontId="7" fillId="2" borderId="0" xfId="0" applyFont="1" applyFill="1"/>
    <xf numFmtId="0" fontId="7" fillId="2" borderId="5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vertical="center"/>
    </xf>
    <xf numFmtId="0" fontId="7" fillId="2" borderId="0" xfId="0" applyFont="1" applyFill="1" applyAlignment="1">
      <alignment horizontal="center" vertical="center"/>
    </xf>
    <xf numFmtId="0" fontId="7" fillId="2" borderId="14" xfId="0" applyFont="1" applyFill="1" applyBorder="1"/>
    <xf numFmtId="0" fontId="7" fillId="2" borderId="7" xfId="0" applyFont="1" applyFill="1" applyBorder="1" applyAlignment="1">
      <alignment horizontal="center" vertical="center"/>
    </xf>
    <xf numFmtId="0" fontId="7" fillId="2" borderId="1" xfId="0" applyFont="1" applyFill="1" applyBorder="1"/>
    <xf numFmtId="0" fontId="7" fillId="2" borderId="15" xfId="0" applyFont="1" applyFill="1" applyBorder="1"/>
    <xf numFmtId="0" fontId="10" fillId="0" borderId="18" xfId="0" applyFont="1" applyBorder="1"/>
    <xf numFmtId="0" fontId="10" fillId="0" borderId="11" xfId="0" applyFont="1" applyBorder="1" applyAlignment="1">
      <alignment horizontal="center" vertical="center"/>
    </xf>
    <xf numFmtId="0" fontId="8" fillId="0" borderId="12" xfId="0" applyFont="1" applyBorder="1"/>
    <xf numFmtId="0" fontId="10" fillId="0" borderId="2" xfId="0" applyFont="1" applyBorder="1"/>
    <xf numFmtId="0" fontId="10" fillId="0" borderId="5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2" borderId="0" xfId="0" applyFont="1" applyFill="1"/>
    <xf numFmtId="0" fontId="17" fillId="0" borderId="26" xfId="0" applyFont="1" applyBorder="1" applyAlignment="1">
      <alignment horizontal="center" vertical="center"/>
    </xf>
    <xf numFmtId="0" fontId="17" fillId="0" borderId="13" xfId="0" applyFont="1" applyBorder="1"/>
    <xf numFmtId="0" fontId="17" fillId="0" borderId="27" xfId="0" applyFont="1" applyBorder="1"/>
    <xf numFmtId="0" fontId="17" fillId="0" borderId="26" xfId="0" applyFont="1" applyBorder="1"/>
    <xf numFmtId="0" fontId="10" fillId="2" borderId="13" xfId="0" applyFont="1" applyFill="1" applyBorder="1"/>
    <xf numFmtId="0" fontId="1" fillId="0" borderId="13" xfId="0" applyFont="1" applyBorder="1"/>
    <xf numFmtId="185" fontId="1" fillId="0" borderId="14" xfId="0" applyNumberFormat="1" applyFont="1" applyBorder="1" applyAlignment="1">
      <alignment horizontal="left" vertical="center"/>
    </xf>
    <xf numFmtId="0" fontId="8" fillId="0" borderId="13" xfId="0" applyFont="1" applyBorder="1"/>
    <xf numFmtId="187" fontId="8" fillId="0" borderId="14" xfId="0" applyNumberFormat="1" applyFont="1" applyBorder="1"/>
    <xf numFmtId="0" fontId="10" fillId="0" borderId="14" xfId="0" applyFont="1" applyBorder="1"/>
    <xf numFmtId="0" fontId="8" fillId="0" borderId="22" xfId="0" applyFont="1" applyBorder="1"/>
    <xf numFmtId="0" fontId="8" fillId="0" borderId="23" xfId="0" applyFont="1" applyBorder="1"/>
    <xf numFmtId="0" fontId="8" fillId="0" borderId="25" xfId="0" applyFont="1" applyBorder="1"/>
    <xf numFmtId="0" fontId="8" fillId="0" borderId="9" xfId="0" applyFont="1" applyBorder="1"/>
    <xf numFmtId="0" fontId="8" fillId="0" borderId="11" xfId="0" applyFont="1" applyBorder="1" applyAlignment="1">
      <alignment horizontal="center" vertical="center"/>
    </xf>
    <xf numFmtId="0" fontId="21" fillId="0" borderId="0" xfId="1" applyBorder="1"/>
    <xf numFmtId="0" fontId="2" fillId="0" borderId="0" xfId="0" applyFont="1" applyAlignment="1">
      <alignment horizontal="center"/>
    </xf>
    <xf numFmtId="0" fontId="17" fillId="0" borderId="12" xfId="0" applyFont="1" applyBorder="1" applyAlignment="1">
      <alignment horizontal="center" vertical="center"/>
    </xf>
    <xf numFmtId="0" fontId="14" fillId="2" borderId="0" xfId="0" applyFont="1" applyFill="1"/>
    <xf numFmtId="0" fontId="16" fillId="2" borderId="0" xfId="0" applyFont="1" applyFill="1" applyAlignment="1">
      <alignment vertical="center"/>
    </xf>
    <xf numFmtId="0" fontId="10" fillId="2" borderId="0" xfId="0" applyFont="1" applyFill="1"/>
    <xf numFmtId="0" fontId="16" fillId="2" borderId="0" xfId="0" applyFont="1" applyFill="1"/>
    <xf numFmtId="0" fontId="7" fillId="2" borderId="0" xfId="0" applyFont="1" applyFill="1" applyAlignment="1">
      <alignment vertical="center"/>
    </xf>
    <xf numFmtId="0" fontId="17" fillId="0" borderId="0" xfId="0" applyFont="1"/>
    <xf numFmtId="0" fontId="17" fillId="0" borderId="14" xfId="0" applyFont="1" applyBorder="1"/>
    <xf numFmtId="0" fontId="19" fillId="0" borderId="13" xfId="0" applyFont="1" applyBorder="1" applyAlignment="1">
      <alignment horizontal="center" vertical="center" wrapText="1"/>
    </xf>
    <xf numFmtId="0" fontId="12" fillId="0" borderId="0" xfId="0" applyFont="1"/>
    <xf numFmtId="177" fontId="1" fillId="2" borderId="0" xfId="0" applyNumberFormat="1" applyFont="1" applyFill="1" applyAlignment="1">
      <alignment horizontal="center" vertical="center"/>
    </xf>
    <xf numFmtId="184" fontId="1" fillId="0" borderId="0" xfId="0" applyNumberFormat="1" applyFont="1" applyAlignment="1">
      <alignment horizontal="left" vertical="center"/>
    </xf>
    <xf numFmtId="185" fontId="1" fillId="0" borderId="0" xfId="0" applyNumberFormat="1" applyFont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86" fontId="1" fillId="0" borderId="0" xfId="0" applyNumberFormat="1" applyFont="1" applyAlignment="1">
      <alignment horizontal="left" vertical="center"/>
    </xf>
    <xf numFmtId="177" fontId="1" fillId="4" borderId="0" xfId="0" applyNumberFormat="1" applyFont="1" applyFill="1" applyAlignment="1">
      <alignment horizontal="center" vertical="center"/>
    </xf>
    <xf numFmtId="0" fontId="10" fillId="0" borderId="0" xfId="0" applyFont="1"/>
    <xf numFmtId="177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86" fontId="10" fillId="0" borderId="0" xfId="0" applyNumberFormat="1" applyFont="1" applyAlignment="1">
      <alignment horizontal="right" vertical="center"/>
    </xf>
    <xf numFmtId="3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17" fillId="0" borderId="0" xfId="0" applyFont="1" applyAlignment="1">
      <alignment horizontal="center" vertical="center"/>
    </xf>
    <xf numFmtId="14" fontId="17" fillId="0" borderId="0" xfId="0" applyNumberFormat="1" applyFont="1" applyAlignment="1">
      <alignment horizontal="center" vertical="center"/>
    </xf>
    <xf numFmtId="14" fontId="8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0" borderId="0" xfId="0" applyNumberFormat="1" applyFont="1" applyAlignment="1">
      <alignment horizontal="left" vertical="center"/>
    </xf>
    <xf numFmtId="184" fontId="1" fillId="0" borderId="0" xfId="0" applyNumberFormat="1" applyFont="1" applyAlignment="1">
      <alignment horizontal="center" vertical="center"/>
    </xf>
    <xf numFmtId="180" fontId="20" fillId="2" borderId="0" xfId="0" applyNumberFormat="1" applyFont="1" applyFill="1" applyAlignment="1">
      <alignment horizontal="left" vertical="center" wrapText="1"/>
    </xf>
    <xf numFmtId="14" fontId="1" fillId="4" borderId="0" xfId="0" applyNumberFormat="1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85" fontId="1" fillId="0" borderId="0" xfId="0" applyNumberFormat="1" applyFont="1" applyAlignment="1">
      <alignment horizontal="center" vertical="center"/>
    </xf>
    <xf numFmtId="187" fontId="8" fillId="0" borderId="0" xfId="0" applyNumberFormat="1" applyFont="1" applyAlignment="1">
      <alignment horizontal="center" vertical="center"/>
    </xf>
    <xf numFmtId="0" fontId="17" fillId="0" borderId="9" xfId="0" applyFont="1" applyBorder="1" applyAlignment="1">
      <alignment horizontal="left"/>
    </xf>
    <xf numFmtId="0" fontId="17" fillId="0" borderId="10" xfId="0" applyFont="1" applyBorder="1"/>
    <xf numFmtId="0" fontId="17" fillId="0" borderId="28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/>
    </xf>
    <xf numFmtId="0" fontId="17" fillId="0" borderId="10" xfId="0" applyFont="1" applyBorder="1" applyAlignment="1">
      <alignment horizontal="center"/>
    </xf>
    <xf numFmtId="0" fontId="25" fillId="0" borderId="0" xfId="0" quotePrefix="1" applyFont="1" applyAlignment="1">
      <alignment horizontal="right" vertical="center"/>
    </xf>
    <xf numFmtId="0" fontId="26" fillId="0" borderId="30" xfId="0" applyFont="1" applyBorder="1"/>
    <xf numFmtId="177" fontId="1" fillId="2" borderId="30" xfId="0" applyNumberFormat="1" applyFont="1" applyFill="1" applyBorder="1" applyAlignment="1">
      <alignment horizontal="center" vertical="center"/>
    </xf>
    <xf numFmtId="184" fontId="1" fillId="0" borderId="30" xfId="0" applyNumberFormat="1" applyFont="1" applyBorder="1" applyAlignment="1">
      <alignment horizontal="left" vertical="center"/>
    </xf>
    <xf numFmtId="185" fontId="1" fillId="0" borderId="30" xfId="0" applyNumberFormat="1" applyFont="1" applyBorder="1" applyAlignment="1">
      <alignment horizontal="left" vertical="center"/>
    </xf>
    <xf numFmtId="0" fontId="6" fillId="0" borderId="30" xfId="0" applyFont="1" applyBorder="1" applyAlignment="1">
      <alignment horizontal="left" vertical="center"/>
    </xf>
    <xf numFmtId="177" fontId="1" fillId="4" borderId="30" xfId="0" applyNumberFormat="1" applyFont="1" applyFill="1" applyBorder="1" applyAlignment="1">
      <alignment horizontal="center" vertical="center"/>
    </xf>
    <xf numFmtId="184" fontId="1" fillId="4" borderId="30" xfId="0" applyNumberFormat="1" applyFont="1" applyFill="1" applyBorder="1" applyAlignment="1">
      <alignment horizontal="left" vertical="center"/>
    </xf>
    <xf numFmtId="185" fontId="1" fillId="4" borderId="30" xfId="0" applyNumberFormat="1" applyFont="1" applyFill="1" applyBorder="1" applyAlignment="1">
      <alignment horizontal="left" vertical="center"/>
    </xf>
    <xf numFmtId="0" fontId="6" fillId="0" borderId="30" xfId="0" applyFont="1" applyBorder="1"/>
    <xf numFmtId="184" fontId="1" fillId="0" borderId="30" xfId="0" applyNumberFormat="1" applyFont="1" applyBorder="1" applyAlignment="1">
      <alignment horizontal="right" vertical="center"/>
    </xf>
    <xf numFmtId="0" fontId="27" fillId="0" borderId="30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7" fillId="0" borderId="13" xfId="0" applyFont="1" applyBorder="1" applyAlignment="1">
      <alignment horizontal="left"/>
    </xf>
    <xf numFmtId="0" fontId="17" fillId="0" borderId="0" xfId="0" applyFont="1" applyAlignment="1">
      <alignment horizontal="left"/>
    </xf>
    <xf numFmtId="0" fontId="27" fillId="0" borderId="31" xfId="0" applyFont="1" applyBorder="1" applyAlignment="1">
      <alignment horizontal="center" vertical="center" wrapText="1"/>
    </xf>
    <xf numFmtId="0" fontId="27" fillId="0" borderId="33" xfId="0" applyFont="1" applyBorder="1" applyAlignment="1">
      <alignment horizontal="center" vertical="center" wrapText="1"/>
    </xf>
    <xf numFmtId="0" fontId="27" fillId="0" borderId="32" xfId="0" applyFont="1" applyBorder="1" applyAlignment="1">
      <alignment horizontal="center" vertical="center" wrapText="1"/>
    </xf>
    <xf numFmtId="185" fontId="1" fillId="0" borderId="31" xfId="0" applyNumberFormat="1" applyFont="1" applyBorder="1" applyAlignment="1">
      <alignment horizontal="center" vertical="center"/>
    </xf>
    <xf numFmtId="185" fontId="1" fillId="0" borderId="3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8" fillId="2" borderId="5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6" fillId="2" borderId="13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left" vertical="center" wrapText="1"/>
    </xf>
    <xf numFmtId="0" fontId="16" fillId="2" borderId="6" xfId="0" applyFont="1" applyFill="1" applyBorder="1" applyAlignment="1">
      <alignment horizontal="left" vertical="center" wrapText="1"/>
    </xf>
    <xf numFmtId="176" fontId="8" fillId="0" borderId="19" xfId="0" applyNumberFormat="1" applyFont="1" applyBorder="1" applyAlignment="1">
      <alignment horizontal="center" vertical="center"/>
    </xf>
    <xf numFmtId="176" fontId="8" fillId="0" borderId="20" xfId="0" applyNumberFormat="1" applyFont="1" applyBorder="1" applyAlignment="1">
      <alignment horizontal="center" vertical="center"/>
    </xf>
    <xf numFmtId="176" fontId="8" fillId="0" borderId="2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79" fontId="1" fillId="0" borderId="0" xfId="0" applyNumberFormat="1" applyFont="1" applyAlignment="1">
      <alignment vertical="center"/>
    </xf>
    <xf numFmtId="178" fontId="1" fillId="0" borderId="0" xfId="0" applyNumberFormat="1" applyFont="1" applyAlignment="1">
      <alignment vertical="center"/>
    </xf>
    <xf numFmtId="178" fontId="4" fillId="0" borderId="0" xfId="0" applyNumberFormat="1" applyFont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wrapText="1"/>
    </xf>
    <xf numFmtId="176" fontId="1" fillId="0" borderId="7" xfId="0" applyNumberFormat="1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0" xfId="0" applyFont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right" vertical="center"/>
    </xf>
  </cellXfs>
  <cellStyles count="10">
    <cellStyle name="常规 2" xfId="2" xr:uid="{00000000-0005-0000-0000-000009000000}"/>
    <cellStyle name="표준" xfId="0" builtinId="0"/>
    <cellStyle name="표준 100" xfId="3" xr:uid="{00000000-0005-0000-0000-000002000000}"/>
    <cellStyle name="표준 102" xfId="4" xr:uid="{00000000-0005-0000-0000-000003000000}"/>
    <cellStyle name="표준 13" xfId="5" xr:uid="{00000000-0005-0000-0000-000004000000}"/>
    <cellStyle name="표준 2 3" xfId="6" xr:uid="{00000000-0005-0000-0000-000005000000}"/>
    <cellStyle name="표준 21" xfId="7" xr:uid="{00000000-0005-0000-0000-000006000000}"/>
    <cellStyle name="표준 3" xfId="8" xr:uid="{00000000-0005-0000-0000-000007000000}"/>
    <cellStyle name="표준 5" xfId="9" xr:uid="{00000000-0005-0000-0000-000008000000}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148425</xdr:colOff>
      <xdr:row>63</xdr:row>
      <xdr:rowOff>7288</xdr:rowOff>
    </xdr:from>
    <xdr:to>
      <xdr:col>5</xdr:col>
      <xdr:colOff>437323</xdr:colOff>
      <xdr:row>71</xdr:row>
      <xdr:rowOff>68246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97775" y="14324330"/>
          <a:ext cx="2837180" cy="148018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772049</xdr:colOff>
      <xdr:row>72</xdr:row>
      <xdr:rowOff>7179</xdr:rowOff>
    </xdr:from>
    <xdr:to>
      <xdr:col>7</xdr:col>
      <xdr:colOff>805172</xdr:colOff>
      <xdr:row>78</xdr:row>
      <xdr:rowOff>169665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69455" y="12691110"/>
          <a:ext cx="2378075" cy="1298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mbs.biz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73"/>
  <sheetViews>
    <sheetView showGridLines="0" tabSelected="1" topLeftCell="A28" zoomScale="85" zoomScaleNormal="85" workbookViewId="0">
      <selection activeCell="B41" sqref="B41"/>
    </sheetView>
  </sheetViews>
  <sheetFormatPr defaultColWidth="8.88671875" defaultRowHeight="15" x14ac:dyDescent="0.25"/>
  <cols>
    <col min="1" max="1" width="14.88671875" style="66" customWidth="1"/>
    <col min="2" max="2" width="95.77734375" style="66" customWidth="1"/>
    <col min="3" max="3" width="29.33203125" style="66" customWidth="1"/>
    <col min="4" max="4" width="16.77734375" style="67" customWidth="1"/>
    <col min="5" max="5" width="16.6640625" style="66" customWidth="1"/>
    <col min="6" max="6" width="8.109375" style="66" customWidth="1"/>
    <col min="7" max="7" width="12.88671875" style="66" customWidth="1"/>
    <col min="8" max="8" width="38.88671875" style="66" customWidth="1"/>
    <col min="9" max="9" width="9.21875" style="67" customWidth="1"/>
    <col min="10" max="10" width="12.77734375" style="67" customWidth="1"/>
    <col min="11" max="11" width="8.33203125" style="66" customWidth="1"/>
    <col min="12" max="12" width="8.88671875" style="66"/>
    <col min="13" max="13" width="10.6640625" style="66" customWidth="1"/>
    <col min="14" max="16384" width="8.88671875" style="66"/>
  </cols>
  <sheetData>
    <row r="1" spans="1:10" ht="24" customHeight="1" x14ac:dyDescent="0.25">
      <c r="A1" s="201" t="s">
        <v>0</v>
      </c>
      <c r="B1" s="201"/>
      <c r="C1" s="201"/>
      <c r="D1" s="201"/>
      <c r="E1" s="201"/>
      <c r="F1" s="201"/>
      <c r="G1" s="201"/>
      <c r="H1" s="68"/>
      <c r="I1" s="68"/>
    </row>
    <row r="2" spans="1:10" ht="28.35" customHeight="1" thickBot="1" x14ac:dyDescent="0.3">
      <c r="A2" s="201"/>
      <c r="B2" s="201"/>
      <c r="C2" s="201"/>
      <c r="D2" s="201"/>
      <c r="E2" s="201"/>
      <c r="F2" s="201"/>
      <c r="G2" s="201"/>
      <c r="H2" s="68"/>
      <c r="I2" s="68"/>
    </row>
    <row r="3" spans="1:10" x14ac:dyDescent="0.25">
      <c r="A3" s="69" t="s">
        <v>1</v>
      </c>
      <c r="B3" s="70"/>
      <c r="C3" s="70"/>
      <c r="D3" s="71" t="s">
        <v>2</v>
      </c>
      <c r="E3" s="72"/>
      <c r="F3" s="72"/>
      <c r="G3" s="72"/>
      <c r="H3" s="73"/>
      <c r="I3" s="74"/>
    </row>
    <row r="4" spans="1:10" ht="13.5" customHeight="1" x14ac:dyDescent="0.25">
      <c r="A4" s="75" t="s">
        <v>3</v>
      </c>
      <c r="B4" s="64"/>
      <c r="C4" s="64"/>
      <c r="D4" s="202" t="s">
        <v>4</v>
      </c>
      <c r="E4" s="203"/>
      <c r="F4" s="203"/>
      <c r="G4" s="203"/>
      <c r="H4" s="76"/>
      <c r="I4" s="74"/>
    </row>
    <row r="5" spans="1:10" x14ac:dyDescent="0.25">
      <c r="A5" s="77" t="s">
        <v>5</v>
      </c>
      <c r="B5" s="64"/>
      <c r="C5" s="64"/>
      <c r="D5" s="204"/>
      <c r="E5" s="205"/>
      <c r="F5" s="205"/>
      <c r="G5" s="205"/>
      <c r="H5" s="78"/>
      <c r="I5" s="74"/>
    </row>
    <row r="6" spans="1:10" x14ac:dyDescent="0.25">
      <c r="A6" s="79" t="s">
        <v>6</v>
      </c>
      <c r="B6" s="64"/>
      <c r="C6" s="64"/>
      <c r="D6" s="80" t="s">
        <v>7</v>
      </c>
      <c r="E6" s="81"/>
      <c r="F6" s="81"/>
      <c r="G6" s="81"/>
      <c r="H6" s="82"/>
    </row>
    <row r="7" spans="1:10" x14ac:dyDescent="0.25">
      <c r="A7" s="79" t="s">
        <v>8</v>
      </c>
      <c r="D7" s="83"/>
      <c r="H7" s="84"/>
    </row>
    <row r="8" spans="1:10" x14ac:dyDescent="0.25">
      <c r="A8" s="85" t="s">
        <v>9</v>
      </c>
      <c r="B8" s="86"/>
      <c r="C8" s="86"/>
      <c r="D8" s="87"/>
      <c r="E8" s="86"/>
      <c r="F8" s="86"/>
      <c r="G8" s="86"/>
      <c r="H8" s="88"/>
    </row>
    <row r="9" spans="1:10" x14ac:dyDescent="0.25">
      <c r="A9" s="89" t="s">
        <v>10</v>
      </c>
      <c r="B9" s="140"/>
      <c r="C9" s="140"/>
      <c r="D9" s="90" t="s">
        <v>11</v>
      </c>
      <c r="E9" s="91"/>
      <c r="F9" s="91"/>
      <c r="G9" s="91"/>
      <c r="H9" s="92"/>
      <c r="I9" s="74"/>
    </row>
    <row r="10" spans="1:10" ht="14.1" customHeight="1" x14ac:dyDescent="0.25">
      <c r="A10" s="93" t="s">
        <v>12</v>
      </c>
      <c r="B10" s="141"/>
      <c r="C10" s="141"/>
      <c r="D10" s="94"/>
      <c r="E10" s="142"/>
      <c r="F10" s="142"/>
      <c r="G10" s="142"/>
      <c r="H10" s="95"/>
      <c r="I10" s="96"/>
      <c r="J10" s="97"/>
    </row>
    <row r="11" spans="1:10" ht="29.25" customHeight="1" x14ac:dyDescent="0.25">
      <c r="A11" s="214" t="s">
        <v>82</v>
      </c>
      <c r="B11" s="215"/>
      <c r="C11" s="216"/>
      <c r="D11" s="212" t="s">
        <v>13</v>
      </c>
      <c r="E11" s="213"/>
      <c r="F11" s="213"/>
      <c r="G11" s="213"/>
      <c r="H11" s="99"/>
      <c r="I11" s="98"/>
    </row>
    <row r="12" spans="1:10" ht="13.9" customHeight="1" x14ac:dyDescent="0.25">
      <c r="A12" s="100"/>
      <c r="B12" s="143"/>
      <c r="C12" s="143"/>
      <c r="D12" s="212"/>
      <c r="E12" s="213"/>
      <c r="F12" s="213"/>
      <c r="G12" s="213"/>
      <c r="H12" s="99"/>
      <c r="I12" s="98"/>
    </row>
    <row r="13" spans="1:10" ht="15" customHeight="1" x14ac:dyDescent="0.25">
      <c r="A13" s="101" t="s">
        <v>14</v>
      </c>
      <c r="B13" s="143"/>
      <c r="C13" s="102"/>
      <c r="D13" s="103"/>
      <c r="E13" s="144"/>
      <c r="F13" s="144"/>
      <c r="G13" s="144"/>
      <c r="H13" s="104"/>
      <c r="I13" s="105"/>
    </row>
    <row r="14" spans="1:10" x14ac:dyDescent="0.25">
      <c r="A14" s="101" t="s">
        <v>15</v>
      </c>
      <c r="B14" s="143"/>
      <c r="C14" s="102"/>
      <c r="D14" s="103"/>
      <c r="E14" s="102"/>
      <c r="F14" s="102"/>
      <c r="G14" s="102"/>
      <c r="H14" s="106"/>
      <c r="I14" s="105"/>
    </row>
    <row r="15" spans="1:10" x14ac:dyDescent="0.25">
      <c r="A15" s="100"/>
      <c r="B15" s="143"/>
      <c r="C15" s="102"/>
      <c r="D15" s="107"/>
      <c r="E15" s="108"/>
      <c r="F15" s="108"/>
      <c r="G15" s="108"/>
      <c r="H15" s="109"/>
      <c r="I15" s="105"/>
    </row>
    <row r="16" spans="1:10" ht="15.75" thickBot="1" x14ac:dyDescent="0.3">
      <c r="A16" s="110" t="s">
        <v>16</v>
      </c>
      <c r="B16" s="81"/>
      <c r="C16" s="81"/>
      <c r="D16" s="80" t="s">
        <v>17</v>
      </c>
      <c r="E16" s="81"/>
      <c r="F16" s="81"/>
      <c r="G16" s="81"/>
      <c r="H16" s="82"/>
    </row>
    <row r="17" spans="1:14" ht="17.25" customHeight="1" x14ac:dyDescent="0.25">
      <c r="A17" s="217">
        <f ca="1">TODAY()</f>
        <v>46253</v>
      </c>
      <c r="B17" s="218"/>
      <c r="C17" s="219"/>
      <c r="D17" s="111"/>
      <c r="E17" s="70"/>
      <c r="F17" s="70"/>
      <c r="G17" s="70"/>
      <c r="H17" s="112"/>
    </row>
    <row r="18" spans="1:14" x14ac:dyDescent="0.25">
      <c r="A18" s="110" t="s">
        <v>18</v>
      </c>
      <c r="B18" s="113" t="s">
        <v>19</v>
      </c>
      <c r="C18" s="81"/>
      <c r="D18" s="114"/>
      <c r="H18" s="84"/>
    </row>
    <row r="19" spans="1:14" ht="16.5" customHeight="1" thickBot="1" x14ac:dyDescent="0.3">
      <c r="A19" s="115" t="s">
        <v>20</v>
      </c>
      <c r="B19" s="210" t="s">
        <v>21</v>
      </c>
      <c r="C19" s="207"/>
      <c r="D19" s="116"/>
      <c r="H19" s="84"/>
    </row>
    <row r="20" spans="1:14" ht="22.35" customHeight="1" x14ac:dyDescent="0.25">
      <c r="A20" s="69" t="s">
        <v>22</v>
      </c>
      <c r="B20" s="70"/>
      <c r="C20" s="70"/>
      <c r="D20" s="111" t="s">
        <v>23</v>
      </c>
      <c r="E20" s="70"/>
      <c r="F20" s="70"/>
      <c r="G20" s="70"/>
      <c r="H20" s="112"/>
    </row>
    <row r="21" spans="1:14" ht="24.75" customHeight="1" x14ac:dyDescent="0.25">
      <c r="A21" s="206" t="s">
        <v>24</v>
      </c>
      <c r="B21" s="207"/>
      <c r="C21" s="207"/>
      <c r="D21" s="210" t="s">
        <v>25</v>
      </c>
      <c r="E21" s="207"/>
      <c r="F21" s="207"/>
      <c r="G21" s="207"/>
      <c r="H21" s="117"/>
    </row>
    <row r="22" spans="1:14" ht="24.75" customHeight="1" thickBot="1" x14ac:dyDescent="0.3">
      <c r="A22" s="208"/>
      <c r="B22" s="209"/>
      <c r="C22" s="209"/>
      <c r="D22" s="211"/>
      <c r="E22" s="209"/>
      <c r="F22" s="209"/>
      <c r="G22" s="209"/>
      <c r="H22" s="120"/>
      <c r="M22" s="121"/>
      <c r="N22" s="121"/>
    </row>
    <row r="23" spans="1:14" s="64" customFormat="1" ht="11.25" customHeight="1" x14ac:dyDescent="0.2">
      <c r="A23" s="174" t="s">
        <v>26</v>
      </c>
      <c r="B23" s="175"/>
      <c r="C23" s="175"/>
      <c r="D23" s="176"/>
      <c r="E23" s="177"/>
      <c r="F23" s="178"/>
      <c r="G23" s="176"/>
      <c r="H23" s="139"/>
      <c r="M23" s="102"/>
      <c r="N23" s="102"/>
    </row>
    <row r="24" spans="1:14" ht="10.5" customHeight="1" x14ac:dyDescent="0.25">
      <c r="A24" s="123"/>
      <c r="B24" s="145"/>
      <c r="C24" s="145"/>
      <c r="D24" s="122"/>
      <c r="E24" s="124"/>
      <c r="F24" s="145"/>
      <c r="G24" s="125"/>
      <c r="H24" s="146"/>
      <c r="I24" s="162"/>
      <c r="M24" s="121"/>
      <c r="N24" s="121"/>
    </row>
    <row r="25" spans="1:14" ht="40.5" x14ac:dyDescent="0.25">
      <c r="A25" s="147" t="s">
        <v>50</v>
      </c>
      <c r="H25" s="84"/>
      <c r="I25" s="163"/>
      <c r="M25" s="121"/>
      <c r="N25" s="121"/>
    </row>
    <row r="26" spans="1:14" x14ac:dyDescent="0.25">
      <c r="A26" s="194" t="s">
        <v>33</v>
      </c>
      <c r="B26" s="195"/>
      <c r="H26" s="84"/>
      <c r="I26" s="163"/>
      <c r="M26" s="121"/>
      <c r="N26" s="121"/>
    </row>
    <row r="27" spans="1:14" ht="15" customHeight="1" x14ac:dyDescent="0.25">
      <c r="A27" s="126" t="s">
        <v>34</v>
      </c>
      <c r="B27" s="148"/>
      <c r="H27" s="84"/>
      <c r="I27" s="163"/>
    </row>
    <row r="28" spans="1:14" s="1" customFormat="1" ht="81" customHeight="1" x14ac:dyDescent="0.2">
      <c r="A28" s="196" t="s">
        <v>27</v>
      </c>
      <c r="B28" s="197"/>
      <c r="C28" s="198"/>
      <c r="D28" s="181" t="s">
        <v>28</v>
      </c>
      <c r="E28" s="189"/>
      <c r="F28" s="199" t="s">
        <v>29</v>
      </c>
      <c r="G28" s="200"/>
      <c r="H28" s="190" t="s">
        <v>81</v>
      </c>
      <c r="I28" s="161" t="s">
        <v>30</v>
      </c>
      <c r="J28" s="97" t="s">
        <v>31</v>
      </c>
      <c r="K28" s="97" t="s">
        <v>32</v>
      </c>
    </row>
    <row r="29" spans="1:14" s="1" customFormat="1" ht="19.7" customHeight="1" x14ac:dyDescent="0.2">
      <c r="A29" s="179" t="s">
        <v>52</v>
      </c>
      <c r="B29" s="180"/>
      <c r="C29" s="191"/>
      <c r="D29" s="181"/>
      <c r="E29" s="182"/>
      <c r="F29" s="183"/>
      <c r="G29" s="182"/>
      <c r="H29" s="183"/>
      <c r="I29" s="166"/>
      <c r="J29" s="167"/>
    </row>
    <row r="30" spans="1:14" s="1" customFormat="1" ht="19.7" customHeight="1" x14ac:dyDescent="0.2">
      <c r="A30" s="179" t="s">
        <v>53</v>
      </c>
      <c r="B30" s="184"/>
      <c r="C30" s="192"/>
      <c r="D30" s="185"/>
      <c r="E30" s="186"/>
      <c r="F30" s="187"/>
      <c r="G30" s="186"/>
      <c r="H30" s="187"/>
      <c r="I30" s="169"/>
      <c r="J30" s="154"/>
      <c r="K30" s="168"/>
    </row>
    <row r="31" spans="1:14" s="1" customFormat="1" ht="19.7" customHeight="1" x14ac:dyDescent="0.2">
      <c r="A31" s="179" t="s">
        <v>54</v>
      </c>
      <c r="B31" s="184"/>
      <c r="C31" s="192"/>
      <c r="D31" s="185"/>
      <c r="E31" s="186"/>
      <c r="F31" s="187"/>
      <c r="G31" s="186"/>
      <c r="H31" s="187"/>
      <c r="I31" s="169"/>
      <c r="J31" s="154"/>
      <c r="K31" s="168"/>
    </row>
    <row r="32" spans="1:14" s="1" customFormat="1" ht="19.7" customHeight="1" x14ac:dyDescent="0.2">
      <c r="A32" s="179" t="s">
        <v>55</v>
      </c>
      <c r="B32" s="184"/>
      <c r="C32" s="192"/>
      <c r="D32" s="185"/>
      <c r="E32" s="186"/>
      <c r="F32" s="187"/>
      <c r="G32" s="186"/>
      <c r="H32" s="187"/>
      <c r="I32" s="169"/>
      <c r="J32" s="170"/>
      <c r="K32" s="168"/>
    </row>
    <row r="33" spans="1:11" s="1" customFormat="1" ht="19.7" customHeight="1" x14ac:dyDescent="0.2">
      <c r="A33" s="179" t="s">
        <v>56</v>
      </c>
      <c r="B33" s="184"/>
      <c r="C33" s="192"/>
      <c r="D33" s="185"/>
      <c r="E33" s="186"/>
      <c r="F33" s="187"/>
      <c r="G33" s="186"/>
      <c r="H33" s="187"/>
      <c r="I33" s="169"/>
      <c r="J33" s="170"/>
      <c r="K33" s="168"/>
    </row>
    <row r="34" spans="1:11" s="1" customFormat="1" ht="19.7" customHeight="1" x14ac:dyDescent="0.2">
      <c r="A34" s="179" t="s">
        <v>57</v>
      </c>
      <c r="B34" s="184"/>
      <c r="C34" s="192"/>
      <c r="D34" s="185"/>
      <c r="E34" s="186"/>
      <c r="F34" s="187"/>
      <c r="G34" s="186"/>
      <c r="H34" s="187"/>
      <c r="I34" s="169"/>
      <c r="J34" s="170"/>
      <c r="K34" s="168"/>
    </row>
    <row r="35" spans="1:11" s="1" customFormat="1" ht="19.7" customHeight="1" x14ac:dyDescent="0.2">
      <c r="A35" s="179" t="s">
        <v>58</v>
      </c>
      <c r="B35" s="184"/>
      <c r="C35" s="192"/>
      <c r="D35" s="185"/>
      <c r="E35" s="186"/>
      <c r="F35" s="187"/>
      <c r="G35" s="186"/>
      <c r="H35" s="187"/>
      <c r="I35" s="169"/>
      <c r="J35" s="170"/>
      <c r="K35" s="168"/>
    </row>
    <row r="36" spans="1:11" s="1" customFormat="1" ht="19.7" customHeight="1" x14ac:dyDescent="0.2">
      <c r="A36" s="179" t="s">
        <v>59</v>
      </c>
      <c r="B36" s="184"/>
      <c r="C36" s="193"/>
      <c r="D36" s="181"/>
      <c r="E36" s="182"/>
      <c r="F36" s="183"/>
      <c r="G36" s="182"/>
      <c r="H36" s="183"/>
      <c r="I36" s="171"/>
      <c r="J36" s="165"/>
      <c r="K36" s="168"/>
    </row>
    <row r="37" spans="1:11" s="1" customFormat="1" ht="18.75" customHeight="1" x14ac:dyDescent="0.2">
      <c r="A37" s="179" t="s">
        <v>60</v>
      </c>
      <c r="B37" s="184"/>
      <c r="C37" s="193"/>
      <c r="D37" s="181"/>
      <c r="E37" s="182"/>
      <c r="F37" s="183"/>
      <c r="G37" s="182"/>
      <c r="H37" s="183"/>
      <c r="I37" s="171"/>
      <c r="J37" s="165"/>
      <c r="K37" s="168"/>
    </row>
    <row r="38" spans="1:11" s="1" customFormat="1" ht="19.7" customHeight="1" x14ac:dyDescent="0.2">
      <c r="A38" s="179" t="s">
        <v>61</v>
      </c>
      <c r="B38" s="184"/>
      <c r="C38" s="193"/>
      <c r="D38" s="181"/>
      <c r="E38" s="182"/>
      <c r="F38" s="183"/>
      <c r="G38" s="182"/>
      <c r="H38" s="183"/>
      <c r="I38" s="171"/>
      <c r="J38" s="165"/>
      <c r="K38" s="168"/>
    </row>
    <row r="39" spans="1:11" s="1" customFormat="1" ht="19.7" customHeight="1" x14ac:dyDescent="0.2">
      <c r="A39" s="179" t="s">
        <v>62</v>
      </c>
      <c r="B39" s="184"/>
      <c r="C39" s="193"/>
      <c r="D39" s="181"/>
      <c r="E39" s="182"/>
      <c r="F39" s="183"/>
      <c r="G39" s="182"/>
      <c r="H39" s="183"/>
      <c r="I39" s="164"/>
      <c r="J39" s="165"/>
      <c r="K39" s="168"/>
    </row>
    <row r="40" spans="1:11" s="1" customFormat="1" ht="19.7" customHeight="1" x14ac:dyDescent="0.2">
      <c r="A40" s="179" t="s">
        <v>63</v>
      </c>
      <c r="B40" s="184"/>
      <c r="C40" s="152"/>
      <c r="D40" s="181"/>
      <c r="E40" s="182"/>
      <c r="F40" s="183"/>
      <c r="G40" s="182"/>
      <c r="H40" s="183"/>
      <c r="I40" s="164"/>
      <c r="J40" s="165"/>
      <c r="K40" s="168"/>
    </row>
    <row r="41" spans="1:11" s="1" customFormat="1" ht="19.7" customHeight="1" x14ac:dyDescent="0.2">
      <c r="A41" s="179" t="s">
        <v>64</v>
      </c>
      <c r="B41" s="184"/>
      <c r="C41" s="152"/>
      <c r="D41" s="181"/>
      <c r="E41" s="182"/>
      <c r="F41" s="183"/>
      <c r="G41" s="182"/>
      <c r="H41" s="183"/>
      <c r="I41" s="164"/>
      <c r="J41" s="165"/>
      <c r="K41" s="168"/>
    </row>
    <row r="42" spans="1:11" s="1" customFormat="1" ht="19.7" customHeight="1" x14ac:dyDescent="0.2">
      <c r="A42" s="179" t="s">
        <v>65</v>
      </c>
      <c r="B42" s="184"/>
      <c r="C42" s="152"/>
      <c r="D42" s="181"/>
      <c r="E42" s="182"/>
      <c r="F42" s="183"/>
      <c r="G42" s="182"/>
      <c r="H42" s="183"/>
      <c r="I42" s="164"/>
      <c r="J42" s="165"/>
      <c r="K42" s="168"/>
    </row>
    <row r="43" spans="1:11" s="1" customFormat="1" ht="19.7" customHeight="1" x14ac:dyDescent="0.2">
      <c r="A43" s="179" t="s">
        <v>66</v>
      </c>
      <c r="B43" s="188"/>
      <c r="C43" s="152"/>
      <c r="D43" s="181"/>
      <c r="E43" s="182"/>
      <c r="F43" s="183"/>
      <c r="G43" s="182"/>
      <c r="H43" s="183"/>
      <c r="I43" s="164"/>
      <c r="J43" s="165"/>
    </row>
    <row r="44" spans="1:11" s="1" customFormat="1" ht="19.7" customHeight="1" x14ac:dyDescent="0.2">
      <c r="A44" s="179" t="s">
        <v>67</v>
      </c>
      <c r="B44" s="188"/>
      <c r="C44" s="152"/>
      <c r="D44" s="181"/>
      <c r="E44" s="182"/>
      <c r="F44" s="183"/>
      <c r="G44" s="182"/>
      <c r="H44" s="183"/>
      <c r="I44" s="164"/>
      <c r="J44" s="165"/>
    </row>
    <row r="45" spans="1:11" s="1" customFormat="1" ht="19.7" customHeight="1" x14ac:dyDescent="0.2">
      <c r="A45" s="179" t="s">
        <v>68</v>
      </c>
      <c r="B45" s="188"/>
      <c r="C45" s="152"/>
      <c r="D45" s="181"/>
      <c r="E45" s="182"/>
      <c r="F45" s="183"/>
      <c r="G45" s="182"/>
      <c r="H45" s="183"/>
      <c r="I45" s="164"/>
      <c r="J45" s="165"/>
    </row>
    <row r="46" spans="1:11" s="1" customFormat="1" ht="19.7" customHeight="1" x14ac:dyDescent="0.2">
      <c r="A46" s="179" t="s">
        <v>69</v>
      </c>
      <c r="B46" s="188"/>
      <c r="C46" s="152"/>
      <c r="D46" s="181"/>
      <c r="E46" s="182"/>
      <c r="F46" s="183"/>
      <c r="G46" s="182"/>
      <c r="H46" s="183"/>
      <c r="I46" s="164"/>
      <c r="J46" s="165"/>
    </row>
    <row r="47" spans="1:11" s="1" customFormat="1" ht="19.7" customHeight="1" x14ac:dyDescent="0.2">
      <c r="A47" s="179" t="s">
        <v>70</v>
      </c>
      <c r="B47" s="188"/>
      <c r="C47" s="152"/>
      <c r="D47" s="181"/>
      <c r="E47" s="182"/>
      <c r="F47" s="183"/>
      <c r="G47" s="182"/>
      <c r="H47" s="183"/>
      <c r="I47" s="164"/>
      <c r="J47" s="165"/>
    </row>
    <row r="48" spans="1:11" s="1" customFormat="1" ht="19.7" customHeight="1" x14ac:dyDescent="0.2">
      <c r="A48" s="179" t="s">
        <v>71</v>
      </c>
      <c r="B48" s="188"/>
      <c r="C48" s="152"/>
      <c r="D48" s="181"/>
      <c r="E48" s="182"/>
      <c r="F48" s="183"/>
      <c r="G48" s="182"/>
      <c r="H48" s="183"/>
      <c r="I48" s="164"/>
      <c r="J48" s="165"/>
    </row>
    <row r="49" spans="1:10" s="1" customFormat="1" ht="19.7" customHeight="1" x14ac:dyDescent="0.2">
      <c r="A49" s="179" t="s">
        <v>72</v>
      </c>
      <c r="B49" s="188"/>
      <c r="C49" s="152"/>
      <c r="D49" s="181"/>
      <c r="E49" s="182"/>
      <c r="F49" s="183"/>
      <c r="G49" s="182"/>
      <c r="H49" s="183"/>
      <c r="I49" s="164"/>
      <c r="J49" s="165"/>
    </row>
    <row r="50" spans="1:10" s="1" customFormat="1" ht="19.7" customHeight="1" x14ac:dyDescent="0.2">
      <c r="A50" s="179" t="s">
        <v>73</v>
      </c>
      <c r="B50" s="188"/>
      <c r="C50" s="152"/>
      <c r="D50" s="181"/>
      <c r="E50" s="182"/>
      <c r="F50" s="183"/>
      <c r="G50" s="182"/>
      <c r="H50" s="183"/>
      <c r="I50" s="164"/>
      <c r="J50" s="165"/>
    </row>
    <row r="51" spans="1:10" s="1" customFormat="1" ht="19.7" customHeight="1" x14ac:dyDescent="0.2">
      <c r="A51" s="179" t="s">
        <v>74</v>
      </c>
      <c r="B51" s="188"/>
      <c r="C51" s="152"/>
      <c r="D51" s="181"/>
      <c r="E51" s="182"/>
      <c r="F51" s="183"/>
      <c r="G51" s="182"/>
      <c r="H51" s="183"/>
      <c r="I51" s="164"/>
      <c r="J51" s="165"/>
    </row>
    <row r="52" spans="1:10" s="1" customFormat="1" ht="18.75" customHeight="1" x14ac:dyDescent="0.2">
      <c r="A52" s="179" t="s">
        <v>75</v>
      </c>
      <c r="B52" s="188"/>
      <c r="C52" s="152"/>
      <c r="D52" s="181"/>
      <c r="E52" s="182"/>
      <c r="F52" s="183"/>
      <c r="G52" s="182"/>
      <c r="H52" s="183"/>
      <c r="I52" s="164"/>
      <c r="J52" s="165"/>
    </row>
    <row r="53" spans="1:10" s="1" customFormat="1" ht="19.7" customHeight="1" x14ac:dyDescent="0.2">
      <c r="A53" s="179" t="s">
        <v>76</v>
      </c>
      <c r="B53" s="188"/>
      <c r="C53" s="152"/>
      <c r="D53" s="181"/>
      <c r="E53" s="182"/>
      <c r="F53" s="183"/>
      <c r="G53" s="182"/>
      <c r="H53" s="183"/>
      <c r="I53" s="164"/>
      <c r="J53" s="165"/>
    </row>
    <row r="54" spans="1:10" s="1" customFormat="1" ht="19.7" customHeight="1" x14ac:dyDescent="0.2">
      <c r="A54" s="179" t="s">
        <v>77</v>
      </c>
      <c r="B54" s="188"/>
      <c r="C54" s="152"/>
      <c r="D54" s="181"/>
      <c r="E54" s="182"/>
      <c r="F54" s="183"/>
      <c r="G54" s="182"/>
      <c r="H54" s="183"/>
      <c r="I54" s="164"/>
      <c r="J54" s="165"/>
    </row>
    <row r="55" spans="1:10" s="1" customFormat="1" ht="19.7" customHeight="1" x14ac:dyDescent="0.2">
      <c r="A55" s="179" t="s">
        <v>78</v>
      </c>
      <c r="B55" s="188"/>
      <c r="C55" s="152"/>
      <c r="D55" s="181"/>
      <c r="E55" s="182"/>
      <c r="F55" s="183"/>
      <c r="G55" s="182"/>
      <c r="H55" s="183"/>
      <c r="I55" s="164"/>
      <c r="J55" s="165"/>
    </row>
    <row r="56" spans="1:10" s="1" customFormat="1" ht="19.7" customHeight="1" x14ac:dyDescent="0.2">
      <c r="A56" s="179" t="s">
        <v>79</v>
      </c>
      <c r="B56" s="188"/>
      <c r="C56" s="152"/>
      <c r="D56" s="181"/>
      <c r="E56" s="182"/>
      <c r="F56" s="183"/>
      <c r="G56" s="182"/>
      <c r="H56" s="183"/>
      <c r="I56" s="164"/>
      <c r="J56" s="165"/>
    </row>
    <row r="57" spans="1:10" s="1" customFormat="1" ht="19.7" customHeight="1" x14ac:dyDescent="0.2">
      <c r="A57" s="179" t="s">
        <v>80</v>
      </c>
      <c r="B57" s="188"/>
      <c r="C57" s="152"/>
      <c r="D57" s="181"/>
      <c r="E57" s="182"/>
      <c r="F57" s="183"/>
      <c r="G57" s="182"/>
      <c r="H57" s="183"/>
      <c r="I57" s="164"/>
      <c r="J57" s="165"/>
    </row>
    <row r="58" spans="1:10" s="1" customFormat="1" ht="19.7" customHeight="1" x14ac:dyDescent="0.2">
      <c r="A58" s="127"/>
      <c r="C58" s="152"/>
      <c r="D58" s="149"/>
      <c r="E58" s="150"/>
      <c r="F58" s="151"/>
      <c r="G58" s="153"/>
      <c r="H58" s="128"/>
      <c r="I58" s="172"/>
      <c r="J58" s="165"/>
    </row>
    <row r="59" spans="1:10" ht="15.75" customHeight="1" x14ac:dyDescent="0.25">
      <c r="A59" s="129"/>
      <c r="B59" s="155" t="s">
        <v>35</v>
      </c>
      <c r="C59" s="155"/>
      <c r="D59" s="156">
        <f>SUM(D29:D57)</f>
        <v>0</v>
      </c>
      <c r="E59" s="157" t="s">
        <v>36</v>
      </c>
      <c r="F59" s="157"/>
      <c r="G59" s="158">
        <f>SUM(G29:G57)</f>
        <v>0</v>
      </c>
      <c r="H59" s="130">
        <f>G59/D61</f>
        <v>0</v>
      </c>
      <c r="I59" s="173"/>
    </row>
    <row r="60" spans="1:10" x14ac:dyDescent="0.25">
      <c r="A60" s="129"/>
      <c r="B60" s="155"/>
      <c r="C60" s="155"/>
      <c r="D60" s="159"/>
      <c r="E60" s="155"/>
      <c r="F60" s="155"/>
      <c r="G60" s="155"/>
      <c r="H60" s="131"/>
      <c r="I60" s="157"/>
    </row>
    <row r="61" spans="1:10" x14ac:dyDescent="0.25">
      <c r="A61" s="129"/>
      <c r="C61" s="160" t="s">
        <v>37</v>
      </c>
      <c r="D61" s="67">
        <f>1480</f>
        <v>1480</v>
      </c>
      <c r="H61" s="130"/>
      <c r="I61" s="173"/>
    </row>
    <row r="62" spans="1:10" ht="10.5" customHeight="1" thickBot="1" x14ac:dyDescent="0.3">
      <c r="A62" s="132"/>
      <c r="B62" s="133"/>
      <c r="C62" s="133"/>
      <c r="D62" s="118"/>
      <c r="E62" s="133"/>
      <c r="F62" s="133"/>
      <c r="G62" s="133"/>
      <c r="H62" s="134"/>
    </row>
    <row r="63" spans="1:10" x14ac:dyDescent="0.25">
      <c r="A63" s="135"/>
      <c r="B63" s="70"/>
      <c r="C63" s="70"/>
      <c r="D63" s="136" t="s">
        <v>38</v>
      </c>
      <c r="E63" s="70"/>
      <c r="F63" s="70"/>
      <c r="G63" s="70"/>
      <c r="H63" s="112"/>
    </row>
    <row r="64" spans="1:10" ht="15" customHeight="1" x14ac:dyDescent="0.25">
      <c r="A64" s="129"/>
      <c r="B64" s="137" t="s">
        <v>39</v>
      </c>
      <c r="D64" s="83"/>
      <c r="H64" s="84"/>
    </row>
    <row r="65" spans="1:10" x14ac:dyDescent="0.25">
      <c r="A65" s="129"/>
      <c r="B65" s="66" t="s">
        <v>40</v>
      </c>
      <c r="D65" s="83"/>
      <c r="H65" s="84"/>
    </row>
    <row r="66" spans="1:10" x14ac:dyDescent="0.25">
      <c r="A66" s="129"/>
      <c r="D66" s="83"/>
      <c r="H66" s="84"/>
    </row>
    <row r="67" spans="1:10" x14ac:dyDescent="0.25">
      <c r="A67" s="129"/>
      <c r="D67" s="83"/>
      <c r="H67" s="84"/>
    </row>
    <row r="68" spans="1:10" x14ac:dyDescent="0.25">
      <c r="A68" s="129"/>
      <c r="D68" s="83"/>
      <c r="H68" s="84"/>
    </row>
    <row r="69" spans="1:10" x14ac:dyDescent="0.25">
      <c r="A69" s="129"/>
      <c r="D69" s="83"/>
      <c r="H69" s="84"/>
    </row>
    <row r="70" spans="1:10" ht="17.25" customHeight="1" x14ac:dyDescent="0.25">
      <c r="A70" s="129"/>
      <c r="D70" s="83"/>
      <c r="H70" s="84"/>
    </row>
    <row r="71" spans="1:10" ht="4.5" customHeight="1" x14ac:dyDescent="0.25">
      <c r="A71" s="129"/>
      <c r="D71" s="83"/>
      <c r="H71" s="84"/>
    </row>
    <row r="72" spans="1:10" ht="12" customHeight="1" thickBot="1" x14ac:dyDescent="0.3">
      <c r="A72" s="132"/>
      <c r="B72" s="133"/>
      <c r="C72" s="133"/>
      <c r="D72" s="119"/>
      <c r="E72" s="133"/>
      <c r="F72" s="133"/>
      <c r="G72" s="133"/>
      <c r="H72" s="134"/>
    </row>
    <row r="73" spans="1:10" s="65" customFormat="1" x14ac:dyDescent="0.25">
      <c r="A73" s="66"/>
      <c r="B73" s="66"/>
      <c r="C73" s="66"/>
      <c r="D73" s="67"/>
      <c r="E73" s="66"/>
      <c r="F73" s="66"/>
      <c r="G73" s="66"/>
      <c r="H73" s="66"/>
      <c r="I73" s="67"/>
      <c r="J73" s="67"/>
    </row>
  </sheetData>
  <mergeCells count="11">
    <mergeCell ref="A26:B26"/>
    <mergeCell ref="A28:C28"/>
    <mergeCell ref="F28:G28"/>
    <mergeCell ref="A1:G2"/>
    <mergeCell ref="D4:G5"/>
    <mergeCell ref="A21:C22"/>
    <mergeCell ref="D21:G22"/>
    <mergeCell ref="D11:G12"/>
    <mergeCell ref="A11:C11"/>
    <mergeCell ref="A17:C17"/>
    <mergeCell ref="B19:C19"/>
  </mergeCells>
  <phoneticPr fontId="24" type="noConversion"/>
  <hyperlinks>
    <hyperlink ref="B64" r:id="rId1" xr:uid="{00000000-0004-0000-0000-000000000000}"/>
  </hyperlinks>
  <printOptions horizontalCentered="1" verticalCentered="1"/>
  <pageMargins left="0.31496062992126" right="0.27559055118110198" top="0.43307086614173201" bottom="0.35433070866141703" header="0.35433070866141703" footer="0.27559055118110198"/>
  <pageSetup paperSize="9" scale="47" orientation="portrait" horizontalDpi="300" verticalDpi="300" r:id="rId2"/>
  <headerFooter alignWithMargins="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K81"/>
  <sheetViews>
    <sheetView showGridLines="0" topLeftCell="A27" zoomScale="85" zoomScaleNormal="85" workbookViewId="0">
      <selection activeCell="F63" sqref="F63"/>
    </sheetView>
  </sheetViews>
  <sheetFormatPr defaultColWidth="8.88671875" defaultRowHeight="12.75" x14ac:dyDescent="0.2"/>
  <cols>
    <col min="1" max="1" width="0.88671875" style="1" customWidth="1"/>
    <col min="2" max="2" width="11.88671875" style="1" customWidth="1"/>
    <col min="3" max="3" width="27.44140625" style="1" customWidth="1"/>
    <col min="4" max="4" width="17.44140625" style="1" customWidth="1"/>
    <col min="5" max="5" width="25" style="1" customWidth="1"/>
    <col min="6" max="6" width="16" style="1" customWidth="1"/>
    <col min="7" max="7" width="14.77734375" style="1" customWidth="1"/>
    <col min="8" max="8" width="17.44140625" style="1" customWidth="1"/>
    <col min="9" max="9" width="8.88671875" style="1"/>
    <col min="10" max="10" width="4.109375" style="1" customWidth="1"/>
    <col min="11" max="16384" width="8.88671875" style="1"/>
  </cols>
  <sheetData>
    <row r="1" spans="2:10" ht="24" customHeight="1" x14ac:dyDescent="0.2">
      <c r="B1" s="220" t="s">
        <v>41</v>
      </c>
      <c r="C1" s="220"/>
      <c r="D1" s="220"/>
      <c r="E1" s="220"/>
      <c r="F1" s="220"/>
      <c r="G1" s="220"/>
      <c r="H1" s="220"/>
    </row>
    <row r="2" spans="2:10" ht="24" customHeight="1" x14ac:dyDescent="0.2">
      <c r="B2" s="221"/>
      <c r="C2" s="221"/>
      <c r="D2" s="221"/>
      <c r="E2" s="221"/>
      <c r="F2" s="221"/>
      <c r="G2" s="221"/>
      <c r="H2" s="221"/>
    </row>
    <row r="3" spans="2:10" x14ac:dyDescent="0.2">
      <c r="B3" s="2" t="s">
        <v>42</v>
      </c>
      <c r="C3" s="3"/>
      <c r="D3" s="3"/>
      <c r="E3" s="3"/>
      <c r="F3" s="2" t="s">
        <v>43</v>
      </c>
      <c r="G3" s="3"/>
      <c r="H3" s="4"/>
    </row>
    <row r="4" spans="2:10" ht="12.75" customHeight="1" x14ac:dyDescent="0.2">
      <c r="B4" s="5" t="str">
        <f>INVOICE!A4</f>
        <v>Riesti Corporation</v>
      </c>
      <c r="F4" s="222" t="str">
        <f>INVOICE!D4</f>
        <v>RIE003      Dated: Aug, 05th, 2026</v>
      </c>
      <c r="G4" s="223"/>
      <c r="H4" s="224"/>
    </row>
    <row r="5" spans="2:10" x14ac:dyDescent="0.2">
      <c r="B5" s="5" t="str">
        <f>INVOICE!A5</f>
        <v>#401, 775, Gyeongin-ro, Yeongdeungpo-gu, Seoul, Republic of Korea</v>
      </c>
      <c r="F5" s="222"/>
      <c r="G5" s="223"/>
      <c r="H5" s="224"/>
    </row>
    <row r="6" spans="2:10" x14ac:dyDescent="0.2">
      <c r="B6" s="5" t="str">
        <f>INVOICE!A6</f>
        <v>Contact Point : Henry</v>
      </c>
      <c r="F6" s="222"/>
      <c r="G6" s="223"/>
      <c r="H6" s="224"/>
    </row>
    <row r="7" spans="2:10" x14ac:dyDescent="0.2">
      <c r="B7" s="5" t="str">
        <f>INVOICE!A7</f>
        <v>E-mail :Henry@riesti.com</v>
      </c>
      <c r="F7" s="222"/>
      <c r="G7" s="223"/>
      <c r="H7" s="224"/>
      <c r="I7" s="232"/>
      <c r="J7" s="232"/>
    </row>
    <row r="8" spans="2:10" x14ac:dyDescent="0.2">
      <c r="B8" s="5" t="str">
        <f>INVOICE!A8</f>
        <v>TEL : 82-70-8733-7930,  FAX : 82-070-7614-3544</v>
      </c>
      <c r="C8" s="6"/>
      <c r="D8" s="6"/>
      <c r="E8" s="6"/>
      <c r="F8" s="225"/>
      <c r="G8" s="226"/>
      <c r="H8" s="227"/>
    </row>
    <row r="9" spans="2:10" x14ac:dyDescent="0.2">
      <c r="B9" s="5" t="s">
        <v>10</v>
      </c>
      <c r="F9" s="7" t="s">
        <v>11</v>
      </c>
      <c r="G9" s="8"/>
      <c r="H9" s="9"/>
    </row>
    <row r="10" spans="2:10" x14ac:dyDescent="0.2">
      <c r="B10" s="5" t="str">
        <f>INVOICE!A10</f>
        <v>RIESTI GLOBAL CO., LTD</v>
      </c>
      <c r="F10" s="7"/>
      <c r="G10" s="8"/>
      <c r="H10" s="9"/>
    </row>
    <row r="11" spans="2:10" ht="15" customHeight="1" x14ac:dyDescent="0.2">
      <c r="B11" s="5" t="str">
        <f>INVOICE!A11</f>
        <v>117 Tan Cang, Thanh My Tay Ward, Ho Chi Minh City, Vietnam</v>
      </c>
      <c r="F11" s="7" t="str">
        <f>INVOICE!D11</f>
        <v>same as consignee</v>
      </c>
      <c r="G11" s="8"/>
      <c r="H11" s="9"/>
    </row>
    <row r="12" spans="2:10" ht="14.1" customHeight="1" x14ac:dyDescent="0.2">
      <c r="B12" s="5"/>
      <c r="F12" s="7"/>
      <c r="G12" s="8"/>
      <c r="H12" s="9"/>
    </row>
    <row r="13" spans="2:10" ht="14.1" customHeight="1" x14ac:dyDescent="0.2">
      <c r="B13" s="5" t="str">
        <f>INVOICE!A13</f>
        <v>ATTEN: PHƯƠNG THẢO</v>
      </c>
      <c r="F13" s="7"/>
      <c r="G13" s="8"/>
      <c r="H13" s="9"/>
    </row>
    <row r="14" spans="2:10" ht="14.1" customHeight="1" x14ac:dyDescent="0.2">
      <c r="B14" s="5" t="str">
        <f>INVOICE!A14</f>
        <v>TEL :  (+84) 916537049</v>
      </c>
      <c r="F14" s="7"/>
      <c r="G14" s="8"/>
      <c r="H14" s="9"/>
    </row>
    <row r="15" spans="2:10" x14ac:dyDescent="0.2">
      <c r="B15" s="5"/>
      <c r="F15" s="10"/>
      <c r="G15" s="8"/>
      <c r="H15" s="9"/>
    </row>
    <row r="16" spans="2:10" x14ac:dyDescent="0.2">
      <c r="B16" s="2" t="s">
        <v>16</v>
      </c>
      <c r="C16" s="3"/>
      <c r="D16" s="3"/>
      <c r="E16" s="3"/>
      <c r="F16" s="2" t="s">
        <v>17</v>
      </c>
      <c r="G16" s="3"/>
      <c r="H16" s="4"/>
    </row>
    <row r="17" spans="2:10" ht="17.25" customHeight="1" x14ac:dyDescent="0.2">
      <c r="B17" s="233">
        <f ca="1">INVOICE!A17</f>
        <v>46253</v>
      </c>
      <c r="C17" s="234"/>
      <c r="D17" s="234"/>
      <c r="E17" s="234"/>
      <c r="F17" s="5"/>
      <c r="H17" s="11"/>
    </row>
    <row r="18" spans="2:10" ht="15.95" customHeight="1" x14ac:dyDescent="0.2">
      <c r="B18" s="12"/>
      <c r="C18" s="4"/>
      <c r="D18" s="13" t="s">
        <v>19</v>
      </c>
      <c r="E18" s="3"/>
      <c r="F18" s="235"/>
      <c r="G18" s="232"/>
      <c r="H18" s="236"/>
    </row>
    <row r="19" spans="2:10" ht="16.5" customHeight="1" x14ac:dyDescent="0.2">
      <c r="B19" s="225" t="str">
        <f>INVOICE!A19</f>
        <v>Vessel</v>
      </c>
      <c r="C19" s="227"/>
      <c r="D19" s="225" t="str">
        <f>INVOICE!B19</f>
        <v>Incheon</v>
      </c>
      <c r="E19" s="226"/>
      <c r="F19" s="5"/>
      <c r="H19" s="11"/>
    </row>
    <row r="20" spans="2:10" x14ac:dyDescent="0.2">
      <c r="B20" s="2" t="s">
        <v>22</v>
      </c>
      <c r="C20" s="3"/>
      <c r="D20" s="3"/>
      <c r="E20" s="3"/>
      <c r="F20" s="5"/>
      <c r="H20" s="11"/>
    </row>
    <row r="21" spans="2:10" ht="9.75" customHeight="1" x14ac:dyDescent="0.2">
      <c r="B21" s="222" t="str">
        <f>INVOICE!A21</f>
        <v>Vietnam</v>
      </c>
      <c r="C21" s="223"/>
      <c r="D21" s="223"/>
      <c r="E21" s="223"/>
      <c r="F21" s="14"/>
      <c r="H21" s="11"/>
    </row>
    <row r="22" spans="2:10" ht="15" customHeight="1" x14ac:dyDescent="0.2">
      <c r="B22" s="222"/>
      <c r="C22" s="223"/>
      <c r="D22" s="223"/>
      <c r="E22" s="223"/>
      <c r="F22" s="14"/>
      <c r="G22" s="15"/>
      <c r="H22" s="11"/>
    </row>
    <row r="23" spans="2:10" ht="11.25" customHeight="1" x14ac:dyDescent="0.2">
      <c r="B23" s="2" t="s">
        <v>26</v>
      </c>
      <c r="C23" s="13"/>
      <c r="D23" s="13"/>
      <c r="E23" s="13"/>
      <c r="F23" s="231" t="s">
        <v>28</v>
      </c>
      <c r="G23" s="16"/>
      <c r="H23" s="17"/>
    </row>
    <row r="24" spans="2:10" ht="36" x14ac:dyDescent="0.2">
      <c r="B24" s="18" t="s">
        <v>49</v>
      </c>
      <c r="C24" s="19"/>
      <c r="E24" s="19"/>
      <c r="F24" s="220"/>
      <c r="G24" s="20" t="s">
        <v>44</v>
      </c>
      <c r="H24" s="21" t="s">
        <v>45</v>
      </c>
    </row>
    <row r="25" spans="2:10" x14ac:dyDescent="0.2">
      <c r="B25" s="22" t="str">
        <f>INVOICE!A27</f>
        <v xml:space="preserve"> C/T NO: 2PL</v>
      </c>
      <c r="C25" s="23"/>
      <c r="D25" s="13"/>
      <c r="E25" s="3"/>
      <c r="F25" s="3"/>
      <c r="G25" s="24"/>
      <c r="H25" s="25"/>
    </row>
    <row r="26" spans="2:10" x14ac:dyDescent="0.2">
      <c r="B26" s="5" t="s">
        <v>46</v>
      </c>
      <c r="C26" s="19"/>
      <c r="F26" s="26"/>
      <c r="H26" s="27"/>
      <c r="I26" s="28"/>
      <c r="J26" s="29"/>
    </row>
    <row r="27" spans="2:10" x14ac:dyDescent="0.2">
      <c r="B27" s="30"/>
      <c r="C27" s="31"/>
      <c r="D27" s="8"/>
      <c r="E27" s="8"/>
      <c r="F27" s="32"/>
      <c r="G27" s="33"/>
      <c r="H27" s="34"/>
      <c r="I27" s="35"/>
      <c r="J27" s="29"/>
    </row>
    <row r="28" spans="2:10" x14ac:dyDescent="0.2">
      <c r="B28" s="138"/>
      <c r="C28" s="31">
        <f>INVOICE!B29</f>
        <v>0</v>
      </c>
      <c r="D28" s="8"/>
      <c r="E28" s="8"/>
      <c r="F28" s="32">
        <f>INVOICE!D29</f>
        <v>0</v>
      </c>
      <c r="G28" s="230">
        <f>H28*0.88</f>
        <v>19.36</v>
      </c>
      <c r="H28" s="229">
        <v>22</v>
      </c>
      <c r="I28" s="228">
        <v>3</v>
      </c>
      <c r="J28" s="42"/>
    </row>
    <row r="29" spans="2:10" x14ac:dyDescent="0.2">
      <c r="B29" s="138"/>
      <c r="C29" s="31" t="s">
        <v>51</v>
      </c>
      <c r="D29" s="8"/>
      <c r="E29" s="8"/>
      <c r="F29" s="32">
        <v>10</v>
      </c>
      <c r="G29" s="230"/>
      <c r="H29" s="229"/>
      <c r="I29" s="228"/>
      <c r="J29" s="42"/>
    </row>
    <row r="30" spans="2:10" x14ac:dyDescent="0.2">
      <c r="B30" s="36"/>
      <c r="C30" s="1">
        <f>INVOICE!B30</f>
        <v>0</v>
      </c>
      <c r="F30" s="32">
        <v>780</v>
      </c>
      <c r="G30" s="37">
        <f t="shared" ref="G30:G53" si="0">H30*0.88</f>
        <v>8.36</v>
      </c>
      <c r="H30" s="37">
        <f t="shared" ref="H30:H53" si="1">I30*J30</f>
        <v>9.5</v>
      </c>
      <c r="I30" s="38">
        <v>1</v>
      </c>
      <c r="J30" s="29">
        <v>9.5</v>
      </c>
    </row>
    <row r="31" spans="2:10" x14ac:dyDescent="0.2">
      <c r="B31" s="36"/>
      <c r="C31" s="1">
        <f>INVOICE!B31</f>
        <v>0</v>
      </c>
      <c r="F31" s="32">
        <v>410</v>
      </c>
      <c r="G31" s="37">
        <f t="shared" si="0"/>
        <v>6.7759999999999998</v>
      </c>
      <c r="H31" s="37">
        <f t="shared" si="1"/>
        <v>7.7</v>
      </c>
      <c r="I31" s="38">
        <v>1</v>
      </c>
      <c r="J31" s="29">
        <v>7.7</v>
      </c>
    </row>
    <row r="32" spans="2:10" x14ac:dyDescent="0.2">
      <c r="B32" s="36"/>
      <c r="C32" s="1">
        <f>INVOICE!B32</f>
        <v>0</v>
      </c>
      <c r="F32" s="32">
        <v>240</v>
      </c>
      <c r="G32" s="37">
        <f t="shared" si="0"/>
        <v>4.84</v>
      </c>
      <c r="H32" s="37">
        <f t="shared" si="1"/>
        <v>5.5</v>
      </c>
      <c r="I32" s="38">
        <v>1</v>
      </c>
      <c r="J32" s="29">
        <v>5.5</v>
      </c>
    </row>
    <row r="33" spans="2:11" x14ac:dyDescent="0.2">
      <c r="B33" s="36"/>
      <c r="C33" s="1">
        <f>INVOICE!B36</f>
        <v>0</v>
      </c>
      <c r="F33" s="32">
        <f>INVOICE!D36</f>
        <v>0</v>
      </c>
      <c r="G33" s="37">
        <f t="shared" si="0"/>
        <v>28.16</v>
      </c>
      <c r="H33" s="39">
        <f t="shared" si="1"/>
        <v>32</v>
      </c>
      <c r="I33" s="40">
        <v>4</v>
      </c>
      <c r="J33" s="41">
        <v>8</v>
      </c>
      <c r="K33" s="41"/>
    </row>
    <row r="34" spans="2:11" x14ac:dyDescent="0.2">
      <c r="B34" s="36"/>
      <c r="C34" s="1">
        <f>INVOICE!B37</f>
        <v>0</v>
      </c>
      <c r="F34" s="32">
        <f>INVOICE!D37</f>
        <v>0</v>
      </c>
      <c r="G34" s="37">
        <f t="shared" si="0"/>
        <v>7.92</v>
      </c>
      <c r="H34" s="39">
        <f t="shared" si="1"/>
        <v>9</v>
      </c>
      <c r="I34" s="38">
        <v>3</v>
      </c>
      <c r="J34" s="42">
        <v>3</v>
      </c>
    </row>
    <row r="35" spans="2:11" x14ac:dyDescent="0.2">
      <c r="B35" s="36"/>
      <c r="C35" s="1">
        <f>INVOICE!B38</f>
        <v>0</v>
      </c>
      <c r="F35" s="32">
        <f>INVOICE!D38</f>
        <v>0</v>
      </c>
      <c r="G35" s="37">
        <f t="shared" si="0"/>
        <v>28.16</v>
      </c>
      <c r="H35" s="39">
        <f t="shared" si="1"/>
        <v>32</v>
      </c>
      <c r="I35" s="38">
        <v>4</v>
      </c>
      <c r="J35" s="42">
        <v>8</v>
      </c>
    </row>
    <row r="36" spans="2:11" x14ac:dyDescent="0.2">
      <c r="B36" s="36"/>
      <c r="C36" s="1">
        <f>INVOICE!B39</f>
        <v>0</v>
      </c>
      <c r="F36" s="32">
        <f>INVOICE!D39</f>
        <v>0</v>
      </c>
      <c r="G36" s="37">
        <f t="shared" si="0"/>
        <v>28.16</v>
      </c>
      <c r="H36" s="39">
        <f t="shared" si="1"/>
        <v>32</v>
      </c>
      <c r="I36" s="38">
        <v>4</v>
      </c>
      <c r="J36" s="42">
        <v>8</v>
      </c>
    </row>
    <row r="37" spans="2:11" x14ac:dyDescent="0.2">
      <c r="B37" s="36"/>
      <c r="C37" s="1">
        <f>INVOICE!B40</f>
        <v>0</v>
      </c>
      <c r="F37" s="32">
        <f>INVOICE!D40</f>
        <v>0</v>
      </c>
      <c r="G37" s="37">
        <f t="shared" si="0"/>
        <v>23.76</v>
      </c>
      <c r="H37" s="39">
        <f t="shared" si="1"/>
        <v>27</v>
      </c>
      <c r="I37" s="38">
        <v>3</v>
      </c>
      <c r="J37" s="42">
        <v>9</v>
      </c>
    </row>
    <row r="38" spans="2:11" x14ac:dyDescent="0.2">
      <c r="B38" s="36"/>
      <c r="C38" s="1">
        <f>INVOICE!B41</f>
        <v>0</v>
      </c>
      <c r="F38" s="32">
        <f>INVOICE!D41</f>
        <v>0</v>
      </c>
      <c r="G38" s="37">
        <f t="shared" si="0"/>
        <v>7.92</v>
      </c>
      <c r="H38" s="39">
        <f t="shared" si="1"/>
        <v>9</v>
      </c>
      <c r="I38" s="38">
        <v>1</v>
      </c>
      <c r="J38" s="42">
        <v>9</v>
      </c>
    </row>
    <row r="39" spans="2:11" x14ac:dyDescent="0.2">
      <c r="B39" s="36"/>
      <c r="C39" s="1">
        <f>INVOICE!B42</f>
        <v>0</v>
      </c>
      <c r="F39" s="32">
        <f>INVOICE!D42</f>
        <v>0</v>
      </c>
      <c r="G39" s="37">
        <f t="shared" si="0"/>
        <v>23.76</v>
      </c>
      <c r="H39" s="39">
        <f t="shared" si="1"/>
        <v>27</v>
      </c>
      <c r="I39" s="38">
        <v>3</v>
      </c>
      <c r="J39" s="42">
        <v>9</v>
      </c>
    </row>
    <row r="40" spans="2:11" x14ac:dyDescent="0.2">
      <c r="B40" s="36"/>
      <c r="C40" s="1">
        <f>INVOICE!B43</f>
        <v>0</v>
      </c>
      <c r="F40" s="32">
        <f>INVOICE!D43</f>
        <v>0</v>
      </c>
      <c r="G40" s="37">
        <f t="shared" si="0"/>
        <v>47.52</v>
      </c>
      <c r="H40" s="39">
        <f t="shared" si="1"/>
        <v>54</v>
      </c>
      <c r="I40" s="38">
        <v>6</v>
      </c>
      <c r="J40" s="42">
        <v>9</v>
      </c>
    </row>
    <row r="41" spans="2:11" x14ac:dyDescent="0.2">
      <c r="B41" s="36"/>
      <c r="C41" s="1">
        <f>INVOICE!B44</f>
        <v>0</v>
      </c>
      <c r="F41" s="32">
        <f>INVOICE!D44</f>
        <v>0</v>
      </c>
      <c r="G41" s="37">
        <f t="shared" si="0"/>
        <v>15.84</v>
      </c>
      <c r="H41" s="39">
        <f t="shared" si="1"/>
        <v>18</v>
      </c>
      <c r="I41" s="38">
        <v>2</v>
      </c>
      <c r="J41" s="42">
        <v>9</v>
      </c>
    </row>
    <row r="42" spans="2:11" x14ac:dyDescent="0.2">
      <c r="B42" s="36"/>
      <c r="C42" s="1">
        <f>INVOICE!B45</f>
        <v>0</v>
      </c>
      <c r="F42" s="32">
        <f>INVOICE!D45</f>
        <v>0</v>
      </c>
      <c r="G42" s="37">
        <f t="shared" si="0"/>
        <v>55.44</v>
      </c>
      <c r="H42" s="39">
        <f t="shared" si="1"/>
        <v>63</v>
      </c>
      <c r="I42" s="38">
        <v>7</v>
      </c>
      <c r="J42" s="42">
        <v>9</v>
      </c>
    </row>
    <row r="43" spans="2:11" x14ac:dyDescent="0.2">
      <c r="B43" s="36"/>
      <c r="C43" s="1">
        <f>INVOICE!B46</f>
        <v>0</v>
      </c>
      <c r="F43" s="32">
        <f>INVOICE!D46</f>
        <v>0</v>
      </c>
      <c r="G43" s="37">
        <f t="shared" si="0"/>
        <v>15.84</v>
      </c>
      <c r="H43" s="39">
        <f t="shared" si="1"/>
        <v>18</v>
      </c>
      <c r="I43" s="38">
        <v>2</v>
      </c>
      <c r="J43" s="42">
        <v>9</v>
      </c>
    </row>
    <row r="44" spans="2:11" ht="14.25" customHeight="1" x14ac:dyDescent="0.2">
      <c r="B44" s="36"/>
      <c r="C44" s="1">
        <f>INVOICE!B47</f>
        <v>0</v>
      </c>
      <c r="F44" s="32">
        <f>INVOICE!D47</f>
        <v>0</v>
      </c>
      <c r="G44" s="239">
        <f t="shared" si="0"/>
        <v>7.1280000000000001</v>
      </c>
      <c r="H44" s="239">
        <v>8.1</v>
      </c>
      <c r="I44" s="241">
        <v>1</v>
      </c>
      <c r="J44" s="237">
        <v>8.1</v>
      </c>
    </row>
    <row r="45" spans="2:11" x14ac:dyDescent="0.2">
      <c r="B45" s="36"/>
      <c r="C45" s="1">
        <f>INVOICE!B48</f>
        <v>0</v>
      </c>
      <c r="F45" s="32">
        <f>INVOICE!D48</f>
        <v>0</v>
      </c>
      <c r="G45" s="239"/>
      <c r="H45" s="239"/>
      <c r="I45" s="241"/>
      <c r="J45" s="237"/>
    </row>
    <row r="46" spans="2:11" x14ac:dyDescent="0.2">
      <c r="B46" s="36"/>
      <c r="C46" s="1">
        <f>INVOICE!B49</f>
        <v>0</v>
      </c>
      <c r="F46" s="32">
        <f>INVOICE!D49</f>
        <v>0</v>
      </c>
      <c r="G46" s="239"/>
      <c r="H46" s="239"/>
      <c r="I46" s="241"/>
      <c r="J46" s="237"/>
    </row>
    <row r="47" spans="2:11" x14ac:dyDescent="0.2">
      <c r="B47" s="36"/>
      <c r="C47" s="1">
        <f>INVOICE!B50</f>
        <v>0</v>
      </c>
      <c r="F47" s="32">
        <f>INVOICE!D50</f>
        <v>0</v>
      </c>
      <c r="G47" s="239"/>
      <c r="H47" s="239">
        <v>5.7</v>
      </c>
      <c r="I47" s="241">
        <v>1</v>
      </c>
      <c r="J47" s="237">
        <v>5.7</v>
      </c>
    </row>
    <row r="48" spans="2:11" x14ac:dyDescent="0.2">
      <c r="B48" s="36"/>
      <c r="C48" s="1">
        <f>INVOICE!B51</f>
        <v>0</v>
      </c>
      <c r="F48" s="32">
        <f>INVOICE!D51</f>
        <v>0</v>
      </c>
      <c r="G48" s="239"/>
      <c r="H48" s="239"/>
      <c r="I48" s="241"/>
      <c r="J48" s="237"/>
    </row>
    <row r="49" spans="2:10" x14ac:dyDescent="0.2">
      <c r="B49" s="36"/>
      <c r="C49" s="1">
        <f>INVOICE!B52</f>
        <v>0</v>
      </c>
      <c r="F49" s="32">
        <f>INVOICE!D52</f>
        <v>0</v>
      </c>
      <c r="G49" s="37">
        <f t="shared" si="0"/>
        <v>7.04</v>
      </c>
      <c r="H49" s="39">
        <f t="shared" si="1"/>
        <v>8</v>
      </c>
      <c r="I49" s="38">
        <v>1</v>
      </c>
      <c r="J49" s="42">
        <v>8</v>
      </c>
    </row>
    <row r="50" spans="2:10" x14ac:dyDescent="0.2">
      <c r="B50" s="36"/>
      <c r="C50" s="1">
        <f>INVOICE!B53</f>
        <v>0</v>
      </c>
      <c r="F50" s="32">
        <f>INVOICE!D53</f>
        <v>0</v>
      </c>
      <c r="G50" s="37">
        <f t="shared" si="0"/>
        <v>9.68</v>
      </c>
      <c r="H50" s="39">
        <f t="shared" si="1"/>
        <v>11</v>
      </c>
      <c r="I50" s="38">
        <v>1</v>
      </c>
      <c r="J50" s="42">
        <v>11</v>
      </c>
    </row>
    <row r="51" spans="2:10" x14ac:dyDescent="0.2">
      <c r="B51" s="36"/>
      <c r="C51" s="1">
        <f>INVOICE!B54</f>
        <v>0</v>
      </c>
      <c r="F51" s="32">
        <f>INVOICE!D54</f>
        <v>0</v>
      </c>
      <c r="G51" s="37">
        <f t="shared" si="0"/>
        <v>6.16</v>
      </c>
      <c r="H51" s="39">
        <f t="shared" si="1"/>
        <v>7</v>
      </c>
      <c r="I51" s="38">
        <v>1</v>
      </c>
      <c r="J51" s="42">
        <v>7</v>
      </c>
    </row>
    <row r="52" spans="2:10" x14ac:dyDescent="0.2">
      <c r="B52" s="36"/>
      <c r="C52" s="1">
        <f>INVOICE!B55</f>
        <v>0</v>
      </c>
      <c r="F52" s="32">
        <f>INVOICE!D55</f>
        <v>0</v>
      </c>
      <c r="G52" s="37">
        <f t="shared" si="0"/>
        <v>147.84</v>
      </c>
      <c r="H52" s="39">
        <f t="shared" si="1"/>
        <v>168</v>
      </c>
      <c r="I52" s="38">
        <v>40</v>
      </c>
      <c r="J52" s="42">
        <v>4.2</v>
      </c>
    </row>
    <row r="53" spans="2:10" x14ac:dyDescent="0.2">
      <c r="B53" s="36"/>
      <c r="C53" s="1">
        <f>INVOICE!B57</f>
        <v>0</v>
      </c>
      <c r="F53" s="32">
        <f>INVOICE!D57</f>
        <v>0</v>
      </c>
      <c r="G53" s="37">
        <f t="shared" si="0"/>
        <v>2.64</v>
      </c>
      <c r="H53" s="39">
        <f t="shared" si="1"/>
        <v>3</v>
      </c>
      <c r="I53" s="38">
        <v>1</v>
      </c>
      <c r="J53" s="42">
        <v>3</v>
      </c>
    </row>
    <row r="54" spans="2:10" x14ac:dyDescent="0.2">
      <c r="B54" s="36"/>
      <c r="F54" s="32"/>
      <c r="G54" s="39"/>
      <c r="H54" s="37"/>
      <c r="I54" s="38"/>
      <c r="J54" s="42"/>
    </row>
    <row r="55" spans="2:10" x14ac:dyDescent="0.2">
      <c r="B55" s="43"/>
      <c r="F55" s="32"/>
      <c r="G55" s="37"/>
      <c r="H55" s="37"/>
      <c r="I55" s="38"/>
      <c r="J55" s="29"/>
    </row>
    <row r="56" spans="2:10" x14ac:dyDescent="0.2">
      <c r="B56" s="43"/>
      <c r="F56" s="32"/>
      <c r="G56" s="37"/>
      <c r="H56" s="44"/>
      <c r="I56" s="38"/>
      <c r="J56" s="29"/>
    </row>
    <row r="57" spans="2:10" x14ac:dyDescent="0.2">
      <c r="B57" s="43"/>
      <c r="F57" s="32"/>
      <c r="G57" s="45"/>
      <c r="H57" s="34"/>
      <c r="I57" s="46"/>
      <c r="J57" s="29"/>
    </row>
    <row r="58" spans="2:10" x14ac:dyDescent="0.2">
      <c r="B58" s="43"/>
      <c r="C58" s="47"/>
      <c r="F58" s="32"/>
      <c r="G58" s="37"/>
      <c r="H58" s="44"/>
      <c r="I58" s="240"/>
      <c r="J58" s="29"/>
    </row>
    <row r="59" spans="2:10" x14ac:dyDescent="0.2">
      <c r="B59" s="43"/>
      <c r="C59" s="47"/>
      <c r="F59" s="32"/>
      <c r="G59" s="37"/>
      <c r="H59" s="44"/>
      <c r="I59" s="240"/>
      <c r="J59" s="29"/>
    </row>
    <row r="60" spans="2:10" x14ac:dyDescent="0.2">
      <c r="B60" s="48"/>
      <c r="C60" s="49"/>
      <c r="D60" s="6"/>
      <c r="E60" s="6"/>
      <c r="F60" s="50"/>
      <c r="G60" s="51"/>
      <c r="H60" s="52"/>
      <c r="I60" s="240"/>
      <c r="J60" s="29"/>
    </row>
    <row r="61" spans="2:10" x14ac:dyDescent="0.2">
      <c r="B61" s="31"/>
      <c r="F61" s="32"/>
      <c r="G61" s="37"/>
      <c r="H61" s="44"/>
      <c r="I61" s="38"/>
    </row>
    <row r="62" spans="2:10" x14ac:dyDescent="0.2">
      <c r="B62" s="53"/>
      <c r="F62" s="32"/>
      <c r="G62" s="37"/>
      <c r="H62" s="44"/>
      <c r="I62" s="38"/>
    </row>
    <row r="63" spans="2:10" x14ac:dyDescent="0.2">
      <c r="B63" s="14"/>
      <c r="D63" s="54" t="s">
        <v>47</v>
      </c>
      <c r="E63" s="54" t="s">
        <v>48</v>
      </c>
      <c r="F63" s="55">
        <f>SUM(F27:F62)</f>
        <v>1440</v>
      </c>
      <c r="G63" s="56">
        <f>SUM(G27:G60)</f>
        <v>502.30399999999997</v>
      </c>
      <c r="H63" s="57">
        <f>SUM(H27:H60)</f>
        <v>576.5</v>
      </c>
      <c r="I63" s="35">
        <f>SUM(I27:I60)</f>
        <v>91</v>
      </c>
    </row>
    <row r="64" spans="2:10" x14ac:dyDescent="0.2">
      <c r="B64" s="14"/>
      <c r="D64" s="54"/>
      <c r="F64" s="58" t="s">
        <v>48</v>
      </c>
      <c r="G64" s="59" t="s">
        <v>48</v>
      </c>
      <c r="H64" s="60"/>
    </row>
    <row r="65" spans="2:8" x14ac:dyDescent="0.2">
      <c r="B65" s="14"/>
      <c r="D65" s="54"/>
      <c r="E65" s="54"/>
      <c r="F65" s="58"/>
      <c r="G65" s="59"/>
      <c r="H65" s="60"/>
    </row>
    <row r="66" spans="2:8" x14ac:dyDescent="0.2">
      <c r="B66" s="14"/>
      <c r="D66" s="54"/>
      <c r="E66" s="54"/>
      <c r="F66" s="58"/>
      <c r="G66" s="59"/>
      <c r="H66" s="60"/>
    </row>
    <row r="67" spans="2:8" x14ac:dyDescent="0.2">
      <c r="B67" s="14"/>
      <c r="D67" s="54"/>
      <c r="E67" s="238"/>
      <c r="F67" s="238"/>
      <c r="G67" s="59"/>
      <c r="H67" s="60"/>
    </row>
    <row r="68" spans="2:8" x14ac:dyDescent="0.2">
      <c r="B68" s="14"/>
      <c r="E68" s="238"/>
      <c r="F68" s="238"/>
      <c r="H68" s="11"/>
    </row>
    <row r="69" spans="2:8" x14ac:dyDescent="0.2">
      <c r="B69" s="14"/>
      <c r="H69" s="11"/>
    </row>
    <row r="70" spans="2:8" x14ac:dyDescent="0.2">
      <c r="B70" s="14"/>
      <c r="H70" s="11"/>
    </row>
    <row r="71" spans="2:8" x14ac:dyDescent="0.2">
      <c r="B71" s="14"/>
      <c r="F71" s="6"/>
      <c r="G71" s="6"/>
      <c r="H71" s="61"/>
    </row>
    <row r="72" spans="2:8" x14ac:dyDescent="0.2">
      <c r="B72" s="14"/>
      <c r="F72" s="62" t="s">
        <v>38</v>
      </c>
      <c r="G72" s="3"/>
      <c r="H72" s="4"/>
    </row>
    <row r="73" spans="2:8" x14ac:dyDescent="0.2">
      <c r="B73" s="14"/>
      <c r="F73" s="14"/>
      <c r="H73" s="11"/>
    </row>
    <row r="74" spans="2:8" ht="15.95" customHeight="1" x14ac:dyDescent="0.2">
      <c r="B74" s="14"/>
      <c r="F74" s="14"/>
      <c r="H74" s="11"/>
    </row>
    <row r="75" spans="2:8" ht="16.5" customHeight="1" x14ac:dyDescent="0.2">
      <c r="B75" s="14"/>
      <c r="F75" s="14"/>
      <c r="H75" s="11"/>
    </row>
    <row r="76" spans="2:8" ht="14.25" customHeight="1" x14ac:dyDescent="0.2">
      <c r="B76" s="14"/>
      <c r="F76" s="14"/>
      <c r="H76" s="11"/>
    </row>
    <row r="77" spans="2:8" x14ac:dyDescent="0.2">
      <c r="B77" s="14"/>
      <c r="F77" s="14"/>
      <c r="H77" s="11"/>
    </row>
    <row r="78" spans="2:8" ht="17.25" customHeight="1" x14ac:dyDescent="0.2">
      <c r="B78" s="14"/>
      <c r="F78" s="14"/>
      <c r="H78" s="11"/>
    </row>
    <row r="79" spans="2:8" ht="15" customHeight="1" x14ac:dyDescent="0.2">
      <c r="B79" s="63"/>
      <c r="C79" s="6"/>
      <c r="D79" s="6"/>
      <c r="E79" s="6"/>
      <c r="F79" s="63"/>
      <c r="G79" s="6"/>
      <c r="H79" s="61"/>
    </row>
    <row r="80" spans="2:8" hidden="1" x14ac:dyDescent="0.2">
      <c r="B80" s="14"/>
      <c r="F80" s="14"/>
    </row>
    <row r="81" spans="2:8" hidden="1" x14ac:dyDescent="0.2">
      <c r="B81" s="63"/>
      <c r="C81" s="6"/>
      <c r="D81" s="6"/>
      <c r="E81" s="6"/>
      <c r="F81" s="63"/>
      <c r="G81" s="6"/>
      <c r="H81" s="6"/>
    </row>
  </sheetData>
  <mergeCells count="21">
    <mergeCell ref="J44:J46"/>
    <mergeCell ref="J47:J48"/>
    <mergeCell ref="E67:F68"/>
    <mergeCell ref="G44:G48"/>
    <mergeCell ref="I58:I60"/>
    <mergeCell ref="I47:I48"/>
    <mergeCell ref="I44:I46"/>
    <mergeCell ref="H44:H46"/>
    <mergeCell ref="H47:H48"/>
    <mergeCell ref="B1:H2"/>
    <mergeCell ref="B21:E22"/>
    <mergeCell ref="F4:H8"/>
    <mergeCell ref="I28:I29"/>
    <mergeCell ref="H28:H29"/>
    <mergeCell ref="G28:G29"/>
    <mergeCell ref="F23:F24"/>
    <mergeCell ref="I7:J7"/>
    <mergeCell ref="B17:E17"/>
    <mergeCell ref="F18:H18"/>
    <mergeCell ref="B19:C19"/>
    <mergeCell ref="D19:E19"/>
  </mergeCells>
  <phoneticPr fontId="24" type="noConversion"/>
  <printOptions horizontalCentered="1" verticalCentered="1"/>
  <pageMargins left="0.31496062992126" right="0.27559055118110198" top="0.43307086614173201" bottom="0.35433070866141703" header="0.35433070866141703" footer="0.27559055118110198"/>
  <pageSetup paperSize="9" scale="49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INVOICE</vt:lpstr>
      <vt:lpstr>PACKING </vt:lpstr>
      <vt:lpstr>INVOICE!Print_Area</vt:lpstr>
      <vt:lpstr>'PACKING '!Print_Area</vt:lpstr>
    </vt:vector>
  </TitlesOfParts>
  <Company>qsi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qq</dc:creator>
  <cp:lastModifiedBy>Ohhyun woo</cp:lastModifiedBy>
  <cp:lastPrinted>2026-08-13T06:53:09Z</cp:lastPrinted>
  <dcterms:created xsi:type="dcterms:W3CDTF">2001-11-09T07:58:00Z</dcterms:created>
  <dcterms:modified xsi:type="dcterms:W3CDTF">2026-08-19T05:22:01Z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252192010DFA45BA95E87F7BD948002A_13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